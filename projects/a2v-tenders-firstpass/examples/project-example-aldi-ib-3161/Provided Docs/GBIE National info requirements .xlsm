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2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Volumes/Projects/ALDI IB/A4. Proposals/ALDI IB 3161 Heavy Duty Tape Dispenser/2. Customer Documents/1. Customer Tender Documents/"/>
    </mc:Choice>
  </mc:AlternateContent>
  <xr:revisionPtr revIDLastSave="0" documentId="13_ncr:1_{F0580A51-83AA-2641-9D71-A72B0DE27534}" xr6:coauthVersionLast="47" xr6:coauthVersionMax="47" xr10:uidLastSave="{00000000-0000-0000-0000-000000000000}"/>
  <bookViews>
    <workbookView xWindow="16520" yWindow="-42600" windowWidth="38400" windowHeight="42600" xr2:uid="{00000000-000D-0000-FFFF-FFFF00000000}"/>
  </bookViews>
  <sheets>
    <sheet name="Basic Info" sheetId="1" r:id="rId1"/>
    <sheet name="GBIE" sheetId="2" r:id="rId2"/>
    <sheet name="AUS_FG" sheetId="3" state="hidden" r:id="rId3"/>
    <sheet name="AUS_EXW_FOB" sheetId="4" state="hidden" r:id="rId4"/>
    <sheet name="HOFER" sheetId="6" state="hidden" r:id="rId5"/>
    <sheet name="How to fill ou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1" l="1"/>
  <c r="B33" i="4"/>
  <c r="B32" i="1"/>
  <c r="C32" i="1"/>
  <c r="D32" i="1"/>
  <c r="B30" i="2"/>
  <c r="B23" i="4" l="1"/>
  <c r="D59" i="6"/>
  <c r="C51" i="6"/>
  <c r="C52" i="6"/>
  <c r="C50" i="6"/>
  <c r="C49" i="6"/>
  <c r="C48" i="6"/>
  <c r="D49" i="6"/>
  <c r="D50" i="6"/>
  <c r="D51" i="6"/>
  <c r="D52" i="6"/>
  <c r="D48" i="6"/>
  <c r="F49" i="6"/>
  <c r="F50" i="6"/>
  <c r="F51" i="6"/>
  <c r="F52" i="6"/>
  <c r="F48" i="6"/>
  <c r="F28" i="2" l="1"/>
  <c r="F10" i="2" l="1"/>
  <c r="C6" i="6" l="1"/>
  <c r="D24" i="6"/>
  <c r="D21" i="6"/>
  <c r="B18" i="2"/>
  <c r="F32" i="6" l="1"/>
  <c r="B47" i="2" l="1"/>
  <c r="B30" i="3" l="1"/>
  <c r="B19" i="4" l="1"/>
  <c r="B13" i="4"/>
  <c r="B12" i="4"/>
  <c r="B13" i="3"/>
  <c r="B6" i="4" l="1"/>
  <c r="B6" i="3" l="1"/>
  <c r="B7" i="3"/>
  <c r="B20" i="2"/>
  <c r="B7" i="4" l="1"/>
  <c r="B36" i="2" l="1"/>
  <c r="B35" i="2"/>
  <c r="D58" i="6" l="1"/>
  <c r="F39" i="6"/>
  <c r="F40" i="6"/>
  <c r="F38" i="6"/>
  <c r="F35" i="6"/>
  <c r="F41" i="6"/>
  <c r="F44" i="6"/>
  <c r="F43" i="6"/>
  <c r="F42" i="6"/>
  <c r="F37" i="6"/>
  <c r="F36" i="6"/>
  <c r="F34" i="6"/>
  <c r="F33" i="6"/>
  <c r="D22" i="6"/>
  <c r="D23" i="6"/>
  <c r="D25" i="6"/>
  <c r="D26" i="6"/>
  <c r="D27" i="6"/>
  <c r="D28" i="6"/>
  <c r="D29" i="6"/>
  <c r="D30" i="6"/>
  <c r="D64" i="6" l="1"/>
  <c r="D66" i="6"/>
  <c r="D61" i="6"/>
  <c r="D60" i="6"/>
  <c r="D10" i="6"/>
  <c r="E6" i="6"/>
  <c r="B41" i="2" l="1"/>
  <c r="B42" i="2"/>
  <c r="B40" i="2"/>
  <c r="B31" i="2" l="1"/>
  <c r="B34" i="2"/>
  <c r="B32" i="2"/>
  <c r="B19" i="3" l="1"/>
  <c r="C21" i="4" l="1"/>
  <c r="D21" i="4"/>
  <c r="D17" i="3"/>
  <c r="C17" i="3"/>
  <c r="B17" i="3"/>
  <c r="E26" i="2" l="1"/>
  <c r="D47" i="2" l="1"/>
  <c r="C47" i="2" l="1"/>
  <c r="B5" i="2"/>
  <c r="B6" i="2"/>
  <c r="B40" i="4" l="1"/>
  <c r="B34" i="4" s="1"/>
  <c r="E25" i="3"/>
  <c r="D25" i="3"/>
  <c r="E29" i="4"/>
  <c r="D29" i="4"/>
  <c r="C29" i="4"/>
  <c r="B29" i="4"/>
  <c r="B29" i="3"/>
  <c r="C33" i="3"/>
  <c r="D33" i="3"/>
  <c r="B37" i="4" l="1"/>
  <c r="C25" i="3"/>
  <c r="D26" i="2"/>
  <c r="C26" i="2"/>
  <c r="B26" i="2"/>
  <c r="D34" i="2" l="1"/>
  <c r="C34" i="2"/>
  <c r="B27" i="2" l="1"/>
  <c r="B43" i="4"/>
  <c r="B41" i="4"/>
  <c r="B35" i="4" s="1"/>
  <c r="B42" i="4"/>
  <c r="B36" i="4" s="1"/>
  <c r="B30" i="4"/>
  <c r="B5" i="4"/>
  <c r="B25" i="3"/>
  <c r="B22" i="4"/>
  <c r="B24" i="4"/>
  <c r="B25" i="4"/>
  <c r="B21" i="4"/>
  <c r="B8" i="3"/>
  <c r="B38" i="4" l="1"/>
  <c r="B39" i="4"/>
  <c r="B28" i="3"/>
  <c r="B21" i="3"/>
  <c r="B20" i="3"/>
  <c r="B18" i="3"/>
  <c r="B5" i="3"/>
  <c r="B48" i="2"/>
  <c r="B45" i="2"/>
  <c r="B43" i="2"/>
  <c r="B31" i="3" l="1"/>
  <c r="B39" i="2"/>
  <c r="B44" i="2"/>
  <c r="B37" i="2"/>
  <c r="B38" i="2"/>
  <c r="E65" i="2"/>
  <c r="D65" i="2" s="1"/>
  <c r="C65" i="2" s="1"/>
  <c r="E64" i="2"/>
  <c r="D64" i="2" s="1"/>
  <c r="C64" i="2" s="1"/>
  <c r="E63" i="2"/>
  <c r="D63" i="2" s="1"/>
  <c r="C63" i="2" s="1"/>
  <c r="E62" i="2"/>
  <c r="D62" i="2" s="1"/>
  <c r="C62" i="2" s="1"/>
  <c r="E61" i="2"/>
  <c r="D61" i="2" s="1"/>
  <c r="C61" i="2" s="1"/>
  <c r="E60" i="2"/>
  <c r="D60" i="2" s="1"/>
  <c r="C60" i="2" s="1"/>
  <c r="E59" i="2"/>
  <c r="D59" i="2" s="1"/>
  <c r="C59" i="2" s="1"/>
  <c r="E58" i="2"/>
  <c r="D58" i="2" s="1"/>
  <c r="C58" i="2" s="1"/>
  <c r="E57" i="2"/>
  <c r="D57" i="2" s="1"/>
  <c r="C57" i="2" s="1"/>
  <c r="E56" i="2"/>
  <c r="D56" i="2" s="1"/>
  <c r="C56" i="2" s="1"/>
  <c r="E55" i="2"/>
  <c r="D55" i="2" s="1"/>
  <c r="C55" i="2" s="1"/>
  <c r="E54" i="2"/>
  <c r="D54" i="2" s="1"/>
  <c r="C54" i="2" s="1"/>
  <c r="E53" i="2"/>
  <c r="D53" i="2" s="1"/>
  <c r="C53" i="2" s="1"/>
  <c r="B33" i="3"/>
  <c r="B45" i="4"/>
  <c r="C45" i="4" s="1"/>
  <c r="D45" i="4" s="1"/>
</calcChain>
</file>

<file path=xl/sharedStrings.xml><?xml version="1.0" encoding="utf-8"?>
<sst xmlns="http://schemas.openxmlformats.org/spreadsheetml/2006/main" count="389" uniqueCount="233">
  <si>
    <t>General Information</t>
  </si>
  <si>
    <t>Product Name</t>
  </si>
  <si>
    <t>Product Code</t>
  </si>
  <si>
    <t>Supplier Name</t>
  </si>
  <si>
    <t>Please complete the logistics details</t>
  </si>
  <si>
    <t>Explanations</t>
  </si>
  <si>
    <t>H x W x D in mm</t>
  </si>
  <si>
    <t>if temperature controlled please specify the temperature requirements</t>
  </si>
  <si>
    <t>Palletised</t>
  </si>
  <si>
    <t>Comment</t>
  </si>
  <si>
    <t>cases per pallet</t>
  </si>
  <si>
    <t>Pallets per 20' container</t>
  </si>
  <si>
    <t>Pallets per 40' container</t>
  </si>
  <si>
    <t>pallet type</t>
  </si>
  <si>
    <t>If it is necessary to ship the items on pallets, please let us know in the cell "comment".</t>
  </si>
  <si>
    <t>GENERAL INFO</t>
  </si>
  <si>
    <t>Buying Director</t>
  </si>
  <si>
    <t>DDP GB [GBP]</t>
  </si>
  <si>
    <t>DDP IE [EUR]</t>
  </si>
  <si>
    <t>EXW GB [GBP]</t>
  </si>
  <si>
    <t>EXW IE [EUR]</t>
  </si>
  <si>
    <t>SUPPLIER INFO</t>
  </si>
  <si>
    <t>PRODUCT INFO</t>
  </si>
  <si>
    <t>Pallet Weight (KG's)</t>
  </si>
  <si>
    <t>Units Per Case</t>
  </si>
  <si>
    <t>Cases Per Pallet</t>
  </si>
  <si>
    <t>Pallet Type</t>
  </si>
  <si>
    <t>JOB INFO</t>
  </si>
  <si>
    <t>Pick Up Location(s)</t>
  </si>
  <si>
    <t>Regional Split</t>
  </si>
  <si>
    <t>Quantity per Month</t>
  </si>
  <si>
    <t>Quantity per Year</t>
  </si>
  <si>
    <t>Name</t>
  </si>
  <si>
    <t>Pallets</t>
  </si>
  <si>
    <t>Cases</t>
  </si>
  <si>
    <t>Units</t>
  </si>
  <si>
    <t>ATH</t>
  </si>
  <si>
    <t>-</t>
  </si>
  <si>
    <t>BOL</t>
  </si>
  <si>
    <t>DAR</t>
  </si>
  <si>
    <t>SWI</t>
  </si>
  <si>
    <t>CHE</t>
  </si>
  <si>
    <t>BAG</t>
  </si>
  <si>
    <t>NES</t>
  </si>
  <si>
    <t>GOL</t>
  </si>
  <si>
    <t>CRD</t>
  </si>
  <si>
    <t>SHE</t>
  </si>
  <si>
    <t>ECM</t>
  </si>
  <si>
    <t>NAA</t>
  </si>
  <si>
    <t>MIT</t>
  </si>
  <si>
    <t>SERVICE PROVIDER / ALDI FREIGHT COST</t>
  </si>
  <si>
    <t>Nominated Service Provider</t>
  </si>
  <si>
    <t>Case Weight</t>
  </si>
  <si>
    <t xml:space="preserve">Case Dimensions </t>
  </si>
  <si>
    <t>Temperature</t>
  </si>
  <si>
    <t>GB/IE</t>
  </si>
  <si>
    <t>Pick-up Location</t>
  </si>
  <si>
    <t>Pick-up Location (in Australia)</t>
  </si>
  <si>
    <t>Pallet Dimension</t>
  </si>
  <si>
    <t>ALDI GB/IE</t>
  </si>
  <si>
    <t>(Comparable) Product Code</t>
  </si>
  <si>
    <t>Units per Case</t>
  </si>
  <si>
    <t>Pick-up Location (only required if ExWorks terms)</t>
  </si>
  <si>
    <t>Port of Shipment</t>
  </si>
  <si>
    <t>Port Of Shipment</t>
  </si>
  <si>
    <t>Port of Shipment (only required if FOB terms)</t>
  </si>
  <si>
    <t>Number of Cases per Pallet</t>
  </si>
  <si>
    <t>PALLET INFO / SEAFREIGHT INFO</t>
  </si>
  <si>
    <t>Cases per Pallet</t>
  </si>
  <si>
    <t>On Sale Date / Contract Start</t>
  </si>
  <si>
    <t>H</t>
  </si>
  <si>
    <t>W</t>
  </si>
  <si>
    <t>D</t>
  </si>
  <si>
    <t>Company</t>
  </si>
  <si>
    <t>Street</t>
  </si>
  <si>
    <t>Postcode &amp; Town</t>
  </si>
  <si>
    <t>Volumes GB</t>
  </si>
  <si>
    <t>Volumes IE</t>
  </si>
  <si>
    <t>Case Dimensions (H x W x D)</t>
  </si>
  <si>
    <t>Pallet Dimension (H x W x D)</t>
  </si>
  <si>
    <t>Country</t>
  </si>
  <si>
    <t xml:space="preserve">Please note: </t>
  </si>
  <si>
    <t>PALLET INFO</t>
  </si>
  <si>
    <t>Factory Gate Price (per unit in AUD)</t>
  </si>
  <si>
    <t>Floor Loaded Containers</t>
  </si>
  <si>
    <t>20GP</t>
  </si>
  <si>
    <t>28 CBM</t>
  </si>
  <si>
    <t>40GP</t>
  </si>
  <si>
    <t>56 CBM</t>
  </si>
  <si>
    <t>40HC</t>
  </si>
  <si>
    <t>66 CBM</t>
  </si>
  <si>
    <t>20RF</t>
  </si>
  <si>
    <t>25 CBM</t>
  </si>
  <si>
    <t>40RF</t>
  </si>
  <si>
    <t xml:space="preserve"> Multi-Country Logistic Information</t>
  </si>
  <si>
    <t>Please select the pallet type, which is the basis for your pallet configuration</t>
  </si>
  <si>
    <t>Calculated based on Case Dimensions and Pallet Type</t>
  </si>
  <si>
    <t xml:space="preserve">Blue marked cells need to be filled out </t>
  </si>
  <si>
    <t>Cases per 20' container</t>
  </si>
  <si>
    <t>Cases per 40' container</t>
  </si>
  <si>
    <t>Cases per 40'HC container</t>
  </si>
  <si>
    <t>Pallets per 40' HC container</t>
  </si>
  <si>
    <t>Pallet information / Seafreight Information</t>
  </si>
  <si>
    <t xml:space="preserve">Please fill out all cells marked in blue and tick the respective box below for the countries you are participating for in the Tender! </t>
  </si>
  <si>
    <t>Cases per Layer</t>
  </si>
  <si>
    <t>Layers per Pallet</t>
  </si>
  <si>
    <t>Number of Layers per Pallet</t>
  </si>
  <si>
    <t>Calculated based on Cases and Layers per Pallet</t>
  </si>
  <si>
    <t>Invoicing Currency</t>
  </si>
  <si>
    <t>Afterwards please go in the respective Tab and fill in the cells marked in blue!</t>
  </si>
  <si>
    <t>Weight in kg</t>
  </si>
  <si>
    <t>Number of units per case</t>
  </si>
  <si>
    <t>Currency in which bill will be invoiced</t>
  </si>
  <si>
    <t>Has there been previous business with one of the ALDI-Platforms? Which one?</t>
  </si>
  <si>
    <t>if yes, how long was the storage time there (Weeks)?</t>
  </si>
  <si>
    <t>select if Palletised / Loose Loaded</t>
  </si>
  <si>
    <t>Add comment (e.g. Rework Required, other Pallet Type etc.)</t>
  </si>
  <si>
    <t>Supplier Number</t>
  </si>
  <si>
    <t>Possibility to stack loaded Pallets</t>
  </si>
  <si>
    <t>No</t>
  </si>
  <si>
    <t>Pallets stackable</t>
  </si>
  <si>
    <t>Display-ID:</t>
  </si>
  <si>
    <t>Minimum order quantity in pallets per country</t>
  </si>
  <si>
    <t>Minimum order quantity in pallets per regional corporate office</t>
  </si>
  <si>
    <t>Note: if goods are to be supplied on PDPs, please select DP and tick the checkbox in the comments for the Logistics department.</t>
  </si>
  <si>
    <t/>
  </si>
  <si>
    <t>CH</t>
  </si>
  <si>
    <t>SI</t>
  </si>
  <si>
    <t>AT</t>
  </si>
  <si>
    <t>HU</t>
  </si>
  <si>
    <t>IT</t>
  </si>
  <si>
    <t>Units per regional corporate office</t>
  </si>
  <si>
    <t>SAT</t>
  </si>
  <si>
    <t>HAU</t>
  </si>
  <si>
    <t>RIE</t>
  </si>
  <si>
    <t>TRU</t>
  </si>
  <si>
    <t>STO</t>
  </si>
  <si>
    <t>WEI</t>
  </si>
  <si>
    <t>SWB</t>
  </si>
  <si>
    <t>PER</t>
  </si>
  <si>
    <t>DOM</t>
  </si>
  <si>
    <t>LJU</t>
  </si>
  <si>
    <t>BIA</t>
  </si>
  <si>
    <t>OPP</t>
  </si>
  <si>
    <t>LAN</t>
  </si>
  <si>
    <t>Mengenrundung vornehmen</t>
  </si>
  <si>
    <t>Pick-up address</t>
  </si>
  <si>
    <t>Cases per pallet</t>
  </si>
  <si>
    <t>Hazardous goods (please ONLY select “yes” if there are NO limits on quantity)</t>
  </si>
  <si>
    <t>Restlaufzeit &lt; 35 Tage</t>
  </si>
  <si>
    <t>Delivery temperature
(Dry: dry, do not enter a min./max. temperature)
Temperature-controlled: dry, enter a min./max. temperature)
Chilled: chilled, do not enter a min./max. temperature)
Frozen: frozen, enter a min./max. temperature)</t>
  </si>
  <si>
    <t>Min. temperature [°C]</t>
  </si>
  <si>
    <t>Max. temperature [°C]</t>
  </si>
  <si>
    <t>Comments for the Logistics department (e.g. pallet overhang, interim storage necessary, case dimensions if the product is from Turkey,
different pallet factors, reduced delivery window, grey import)</t>
  </si>
  <si>
    <t>Detailed comments for the Logistics department</t>
  </si>
  <si>
    <t>Description</t>
  </si>
  <si>
    <t>DDP/DAT price/display (in €)</t>
  </si>
  <si>
    <t>EXW price/display (in EUR)</t>
  </si>
  <si>
    <t>DDP/DAT price/unit 
(in €)</t>
  </si>
  <si>
    <t>Core range or Seasonal item</t>
  </si>
  <si>
    <t>Season period (if seasonal item)</t>
  </si>
  <si>
    <t>Pick-up location</t>
  </si>
  <si>
    <t>Possibility to combine with other items of supplier</t>
  </si>
  <si>
    <t>Estimated volume per year or similar item for comparison</t>
  </si>
  <si>
    <t>Grey import HU, SI oder IT</t>
  </si>
  <si>
    <t>Product Category</t>
  </si>
  <si>
    <t>Supplier Contact (Name, Phone, Email)</t>
  </si>
  <si>
    <t>Hazardous Good</t>
  </si>
  <si>
    <t>Is the Product classed as a Hazardous Good (e.g. toxic, explosive etc.)</t>
  </si>
  <si>
    <t>Comment (e.g. Factory Pick Up Limitations)</t>
  </si>
  <si>
    <t>Product Ingredients List</t>
  </si>
  <si>
    <t>Units per 20' container</t>
  </si>
  <si>
    <t>Units per 40' container</t>
  </si>
  <si>
    <t>Units per 40' HC container</t>
  </si>
  <si>
    <t>Shipping Terms</t>
  </si>
  <si>
    <t>Comment (e.g. Factory Pick Up Limitations, foreign currency)</t>
  </si>
  <si>
    <t>DDP Price (per unit in AUD)</t>
  </si>
  <si>
    <t>EXW Price (per unit in AUD)</t>
  </si>
  <si>
    <t>FOB Price (per unit in AUD)</t>
  </si>
  <si>
    <r>
      <rPr>
        <b/>
        <sz val="36"/>
        <color theme="0"/>
        <rFont val="ALDI SUED Office"/>
      </rPr>
      <t>Logistics Inquiry</t>
    </r>
    <r>
      <rPr>
        <b/>
        <sz val="16"/>
        <color theme="1"/>
        <rFont val="Calibri"/>
        <family val="2"/>
        <scheme val="minor"/>
      </rPr>
      <t xml:space="preserve"> </t>
    </r>
  </si>
  <si>
    <t>Pallet meets ISPM15 Standards</t>
  </si>
  <si>
    <t xml:space="preserve">White coloured cells are filled automatically based on the Basic information entered </t>
  </si>
  <si>
    <r>
      <rPr>
        <b/>
        <i/>
        <sz val="11"/>
        <color indexed="8"/>
        <rFont val="ALDI SUED Office"/>
      </rPr>
      <t xml:space="preserve">Address: </t>
    </r>
    <r>
      <rPr>
        <i/>
        <sz val="11"/>
        <color indexed="8"/>
        <rFont val="ALDI SUED Office"/>
      </rPr>
      <t>company's name, Street, Zip, Town, Country</t>
    </r>
  </si>
  <si>
    <r>
      <rPr>
        <i/>
        <u/>
        <sz val="11"/>
        <color theme="1"/>
        <rFont val="Calibri"/>
        <family val="2"/>
        <scheme val="minor"/>
      </rPr>
      <t xml:space="preserve">in case of seafreight </t>
    </r>
    <r>
      <rPr>
        <i/>
        <sz val="11"/>
        <color theme="1"/>
        <rFont val="Calibri"/>
        <family val="2"/>
        <scheme val="minor"/>
      </rPr>
      <t>choose nearest port to the production facility</t>
    </r>
    <r>
      <rPr>
        <sz val="10.5"/>
        <color rgb="FFFF0000"/>
        <rFont val="Calibri"/>
        <family val="2"/>
        <scheme val="minor"/>
      </rPr>
      <t/>
    </r>
  </si>
  <si>
    <t>ALDI Australia - Factory Gate</t>
  </si>
  <si>
    <t>ALDI Australia - EXW / FOB</t>
  </si>
  <si>
    <t>MAXIMUM CBM Per Container: INDICATION ONLY</t>
  </si>
  <si>
    <t>HOFER S/E</t>
  </si>
  <si>
    <r>
      <rPr>
        <b/>
        <sz val="10.5"/>
        <color theme="0"/>
        <rFont val="ALDI SUED Office"/>
      </rPr>
      <t>Country</t>
    </r>
  </si>
  <si>
    <r>
      <rPr>
        <b/>
        <sz val="10.5"/>
        <color theme="0"/>
        <rFont val="ALDI SUED Office"/>
      </rPr>
      <t>Street</t>
    </r>
  </si>
  <si>
    <r>
      <rPr>
        <b/>
        <sz val="10.5"/>
        <color theme="0"/>
        <rFont val="ALDI SUED Office"/>
      </rPr>
      <t>EXW price/unit (in EUR)</t>
    </r>
  </si>
  <si>
    <r>
      <rPr>
        <i/>
        <sz val="10.5"/>
        <rFont val="ALDI SUED Office"/>
      </rPr>
      <t>AT</t>
    </r>
  </si>
  <si>
    <r>
      <rPr>
        <i/>
        <sz val="10.5"/>
        <rFont val="ALDI SUED Office"/>
      </rPr>
      <t>CH</t>
    </r>
  </si>
  <si>
    <r>
      <rPr>
        <i/>
        <sz val="10.5"/>
        <rFont val="ALDI SUED Office"/>
      </rPr>
      <t>IT</t>
    </r>
  </si>
  <si>
    <r>
      <rPr>
        <i/>
        <sz val="10.5"/>
        <rFont val="ALDI SUED Office"/>
      </rPr>
      <t>SI</t>
    </r>
  </si>
  <si>
    <r>
      <rPr>
        <i/>
        <sz val="10.5"/>
        <rFont val="ALDI SUED Office"/>
      </rPr>
      <t>HU</t>
    </r>
  </si>
  <si>
    <t xml:space="preserve">Minimum shelf life on delivery </t>
  </si>
  <si>
    <t>Shelf life after production</t>
  </si>
  <si>
    <t>Comment (e.g. Rework Required, Quantity Review)</t>
  </si>
  <si>
    <t>DAT Price (based on Inboud to an ALDI-Platform)</t>
  </si>
  <si>
    <t>DDP Price (based on delivery into the ALDI regions)</t>
  </si>
  <si>
    <t>EXW Price (based on pick-up at production facility)</t>
  </si>
  <si>
    <t>UK Buying Specialist</t>
  </si>
  <si>
    <t>UK Buying Director</t>
  </si>
  <si>
    <t>Postcode</t>
  </si>
  <si>
    <t>Total Quantity (only for Seasonal)</t>
  </si>
  <si>
    <t>I agree on working with a third party haulier nominated by ALDI</t>
  </si>
  <si>
    <t>I confirm the DDP-solution is not based on any ALDI-Platform</t>
  </si>
  <si>
    <t>&lt;Please select&gt;</t>
  </si>
  <si>
    <t>Agreement on NDDP-Process (Dropdown)</t>
  </si>
  <si>
    <t>Confirmation DDP Price-basis (Dropdown)</t>
  </si>
  <si>
    <t>Launch Date (Availability of the Product)</t>
  </si>
  <si>
    <t>Contract Start Date</t>
  </si>
  <si>
    <t>Only in case of seafreight</t>
  </si>
  <si>
    <t>Note: Even for loose loaded, an estimated pallet configuration should be provided.
If the pallet configuration is different for some countries, the fields can be overwritten on the country-specific sheets (including the units per case).</t>
  </si>
  <si>
    <t>Estimated Volume per Country</t>
  </si>
  <si>
    <t>Regional Corporate Office</t>
  </si>
  <si>
    <t xml:space="preserve"> </t>
  </si>
  <si>
    <t>Note: Please provide detailed ingredients list with percentages (%)</t>
  </si>
  <si>
    <r>
      <t xml:space="preserve">In case of any questions please feel free to contact : </t>
    </r>
    <r>
      <rPr>
        <b/>
        <u/>
        <sz val="14"/>
        <rFont val="Calibri"/>
        <family val="2"/>
        <scheme val="minor"/>
      </rPr>
      <t>scm-gs@aldi-sued.com</t>
    </r>
  </si>
  <si>
    <t>FOB CC GB [GBP]</t>
  </si>
  <si>
    <t>FOB CC IE [EUR]</t>
  </si>
  <si>
    <t>FOB CC Price (based on pick-up at the port of loading)</t>
  </si>
  <si>
    <t>CC: Customs Cleared</t>
  </si>
  <si>
    <t>DPU GB [GBP]</t>
  </si>
  <si>
    <t>DPU IE [EUR]</t>
  </si>
  <si>
    <t>Heavy Duty Tape Dispenser</t>
  </si>
  <si>
    <t>/</t>
  </si>
  <si>
    <t>A2V Trade ltd</t>
  </si>
  <si>
    <t>logistics@a2v.com</t>
  </si>
  <si>
    <t>Ambient</t>
  </si>
  <si>
    <t>Ningbo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</si>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</sst>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\ &quot;€&quot;_-;\-* #,##0.00\ &quot;€&quot;_-;_-* &quot;-&quot;??\ &quot;€&quot;_-;_-@_-"/>
    <numFmt numFmtId="165" formatCode="_-* #,##0.00_-;\-* #,##0.00_-;_-* &quot;-&quot;??_-;_-@_-"/>
    <numFmt numFmtId="166" formatCode="0.0000"/>
    <numFmt numFmtId="167" formatCode="#,##0.0"/>
    <numFmt numFmtId="168" formatCode="0.0%"/>
    <numFmt numFmtId="169" formatCode="&quot;€&quot;\ #,##0.00"/>
    <numFmt numFmtId="170" formatCode="_-[$€-C07]\ * #,##0.0000_-;\-[$€-C07]\ * #,##0.0000_-;_-[$€-C07]\ * &quot;-&quot;????_-;_-@_-"/>
    <numFmt numFmtId="171" formatCode="00000"/>
    <numFmt numFmtId="172" formatCode="[$£-809]#,##0.0000"/>
    <numFmt numFmtId="173" formatCode="&quot;€&quot;\ #,##0.0000"/>
    <numFmt numFmtId="174" formatCode="[$AUD]\ #,##0.0000"/>
    <numFmt numFmtId="175" formatCode="#,##0.0000\ [$EUR]"/>
  </numFmts>
  <fonts count="57"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rgb="FFFF0000"/>
      <name val="Calibri"/>
      <family val="2"/>
      <scheme val="minor"/>
    </font>
    <font>
      <sz val="10.5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0.5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0.5"/>
      <name val="ALDI SUED Office"/>
    </font>
    <font>
      <sz val="8"/>
      <name val="ALDI SUED Office"/>
    </font>
    <font>
      <b/>
      <sz val="14"/>
      <name val="ALDI SUED Office"/>
    </font>
    <font>
      <b/>
      <sz val="10.5"/>
      <name val="ALDI SUED Office"/>
    </font>
    <font>
      <i/>
      <sz val="10.5"/>
      <name val="ALDI SUED Office"/>
    </font>
    <font>
      <sz val="8"/>
      <color rgb="FFFF0000"/>
      <name val="ALDI SUED Office"/>
    </font>
    <font>
      <b/>
      <sz val="10"/>
      <name val="Arial"/>
      <family val="2"/>
    </font>
    <font>
      <sz val="8"/>
      <color theme="0"/>
      <name val="ALDI SUED Office"/>
    </font>
    <font>
      <sz val="8"/>
      <color indexed="43"/>
      <name val="ALDI SUED Office"/>
    </font>
    <font>
      <sz val="10"/>
      <name val="ALDI SUED Office"/>
    </font>
    <font>
      <sz val="10.5"/>
      <color theme="0"/>
      <name val="ALDI SUED Office"/>
    </font>
    <font>
      <sz val="10.5"/>
      <color rgb="FFFF0000"/>
      <name val="ALDI SUED Offic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36"/>
      <color theme="0"/>
      <name val="ALDI SUED Office"/>
    </font>
    <font>
      <b/>
      <sz val="26"/>
      <color theme="0"/>
      <name val="ALDI SUED Office"/>
    </font>
    <font>
      <b/>
      <sz val="18"/>
      <color theme="0"/>
      <name val="ALDI SUED Office"/>
    </font>
    <font>
      <b/>
      <sz val="14"/>
      <color theme="0"/>
      <name val="ALDI SUED Office"/>
    </font>
    <font>
      <b/>
      <sz val="10.5"/>
      <color theme="0"/>
      <name val="ALDI SUED Office"/>
    </font>
    <font>
      <b/>
      <sz val="22"/>
      <color theme="0"/>
      <name val="ALDI SUED Office"/>
    </font>
    <font>
      <sz val="12"/>
      <name val="ALDI SUED Office"/>
    </font>
    <font>
      <b/>
      <sz val="11"/>
      <color theme="0"/>
      <name val="ALDI SUED Office"/>
    </font>
    <font>
      <b/>
      <sz val="12"/>
      <color theme="0"/>
      <name val="ALDI SUED Office"/>
    </font>
    <font>
      <b/>
      <i/>
      <sz val="10.5"/>
      <color theme="0"/>
      <name val="ALDI SUED Office"/>
    </font>
    <font>
      <i/>
      <sz val="10"/>
      <name val="ALDI SUED Office"/>
    </font>
    <font>
      <b/>
      <i/>
      <sz val="18"/>
      <color theme="1"/>
      <name val="ALDI SUED Office"/>
    </font>
    <font>
      <b/>
      <sz val="12"/>
      <name val="ALDI SUED Office"/>
    </font>
    <font>
      <sz val="11"/>
      <color theme="1"/>
      <name val="ALDI SUED Office"/>
    </font>
    <font>
      <i/>
      <sz val="11"/>
      <name val="ALDI SUED Office"/>
    </font>
    <font>
      <b/>
      <i/>
      <sz val="11"/>
      <color indexed="8"/>
      <name val="ALDI SUED Office"/>
    </font>
    <font>
      <i/>
      <sz val="11"/>
      <color indexed="8"/>
      <name val="ALDI SUED Office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1"/>
      <name val="ALDI SUED Office"/>
    </font>
    <font>
      <sz val="11"/>
      <name val="ALDI SUED Office"/>
    </font>
    <font>
      <sz val="9"/>
      <name val="ALDI SUED Office"/>
    </font>
    <font>
      <b/>
      <sz val="14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5F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55C3F0"/>
        <bgColor indexed="64"/>
      </patternFill>
    </fill>
    <fill>
      <patternFill patternType="solid">
        <fgColor theme="1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1" tint="0.34998626667073579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theme="1" tint="0.34998626667073579"/>
      </left>
      <right/>
      <top/>
      <bottom style="thin">
        <color indexed="64"/>
      </bottom>
      <diagonal/>
    </border>
    <border>
      <left style="medium">
        <color theme="1" tint="0.34998626667073579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8" fillId="0" borderId="0"/>
    <xf numFmtId="0" fontId="9" fillId="0" borderId="0"/>
    <xf numFmtId="16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8" fillId="0" borderId="0"/>
    <xf numFmtId="0" fontId="13" fillId="0" borderId="0"/>
    <xf numFmtId="0" fontId="13" fillId="0" borderId="0"/>
    <xf numFmtId="165" fontId="13" fillId="0" borderId="0" applyFont="0" applyFill="0" applyBorder="0" applyAlignment="0" applyProtection="0"/>
    <xf numFmtId="0" fontId="13" fillId="0" borderId="0"/>
    <xf numFmtId="0" fontId="56" fillId="0" borderId="0" applyNumberFormat="0" applyFill="0" applyBorder="0" applyAlignment="0" applyProtection="0"/>
  </cellStyleXfs>
  <cellXfs count="350">
    <xf numFmtId="0" fontId="0" fillId="0" borderId="0" xfId="0"/>
    <xf numFmtId="0" fontId="1" fillId="0" borderId="0" xfId="0" applyFont="1"/>
    <xf numFmtId="49" fontId="0" fillId="0" borderId="0" xfId="0" applyNumberFormat="1" applyAlignment="1">
      <alignment horizontal="left"/>
    </xf>
    <xf numFmtId="49" fontId="6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left"/>
    </xf>
    <xf numFmtId="1" fontId="6" fillId="7" borderId="0" xfId="0" applyNumberFormat="1" applyFont="1" applyFill="1" applyAlignment="1" applyProtection="1">
      <alignment horizontal="left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6" fillId="0" borderId="0" xfId="0" applyFont="1" applyAlignment="1">
      <alignment horizontal="left"/>
    </xf>
    <xf numFmtId="49" fontId="6" fillId="0" borderId="0" xfId="0" applyNumberFormat="1" applyFont="1"/>
    <xf numFmtId="49" fontId="0" fillId="0" borderId="0" xfId="0" applyNumberFormat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15" fontId="0" fillId="0" borderId="0" xfId="0" applyNumberFormat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1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49" fontId="7" fillId="5" borderId="0" xfId="0" applyNumberFormat="1" applyFont="1" applyFill="1" applyAlignment="1" applyProtection="1">
      <alignment horizontal="left"/>
      <protection locked="0"/>
    </xf>
    <xf numFmtId="49" fontId="7" fillId="5" borderId="14" xfId="0" applyNumberFormat="1" applyFont="1" applyFill="1" applyBorder="1" applyAlignment="1" applyProtection="1">
      <alignment horizontal="left"/>
      <protection locked="0"/>
    </xf>
    <xf numFmtId="49" fontId="6" fillId="7" borderId="0" xfId="0" applyNumberFormat="1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49" fontId="5" fillId="4" borderId="0" xfId="0" applyNumberFormat="1" applyFont="1" applyFill="1" applyAlignment="1" applyProtection="1">
      <alignment horizontal="left"/>
      <protection locked="0"/>
    </xf>
    <xf numFmtId="49" fontId="7" fillId="5" borderId="17" xfId="0" applyNumberFormat="1" applyFont="1" applyFill="1" applyBorder="1" applyAlignment="1" applyProtection="1">
      <alignment horizontal="left"/>
      <protection locked="0"/>
    </xf>
    <xf numFmtId="49" fontId="7" fillId="5" borderId="18" xfId="0" applyNumberFormat="1" applyFont="1" applyFill="1" applyBorder="1" applyAlignment="1" applyProtection="1">
      <alignment horizontal="left"/>
      <protection locked="0"/>
    </xf>
    <xf numFmtId="49" fontId="7" fillId="5" borderId="19" xfId="0" applyNumberFormat="1" applyFont="1" applyFill="1" applyBorder="1" applyAlignment="1" applyProtection="1">
      <alignment horizontal="left"/>
      <protection locked="0"/>
    </xf>
    <xf numFmtId="49" fontId="7" fillId="5" borderId="17" xfId="0" applyNumberFormat="1" applyFont="1" applyFill="1" applyBorder="1" applyProtection="1">
      <protection locked="0"/>
    </xf>
    <xf numFmtId="0" fontId="15" fillId="9" borderId="0" xfId="0" applyFont="1" applyFill="1" applyAlignment="1" applyProtection="1">
      <alignment vertical="center" readingOrder="1"/>
      <protection locked="0"/>
    </xf>
    <xf numFmtId="0" fontId="18" fillId="0" borderId="0" xfId="0" applyFont="1" applyAlignment="1" applyProtection="1">
      <alignment horizontal="right" vertical="center" readingOrder="1"/>
      <protection locked="0"/>
    </xf>
    <xf numFmtId="166" fontId="15" fillId="9" borderId="0" xfId="0" applyNumberFormat="1" applyFont="1" applyFill="1" applyAlignment="1">
      <alignment vertical="center" readingOrder="1"/>
    </xf>
    <xf numFmtId="0" fontId="20" fillId="9" borderId="0" xfId="0" applyFont="1" applyFill="1" applyAlignment="1">
      <alignment horizontal="left" vertical="center" wrapText="1" indent="1" readingOrder="1"/>
    </xf>
    <xf numFmtId="0" fontId="15" fillId="0" borderId="0" xfId="0" applyFont="1" applyAlignment="1" applyProtection="1">
      <alignment horizontal="center" vertical="center" readingOrder="1"/>
      <protection locked="0"/>
    </xf>
    <xf numFmtId="0" fontId="17" fillId="0" borderId="0" xfId="0" applyFont="1" applyAlignment="1">
      <alignment vertical="center" readingOrder="1"/>
    </xf>
    <xf numFmtId="0" fontId="15" fillId="0" borderId="0" xfId="0" applyFont="1" applyAlignment="1">
      <alignment vertical="center" readingOrder="1"/>
    </xf>
    <xf numFmtId="0" fontId="15" fillId="0" borderId="0" xfId="0" applyFont="1" applyAlignment="1">
      <alignment horizontal="left" vertical="center" readingOrder="1"/>
    </xf>
    <xf numFmtId="0" fontId="19" fillId="0" borderId="0" xfId="0" applyFont="1" applyAlignment="1">
      <alignment vertical="center" readingOrder="1"/>
    </xf>
    <xf numFmtId="166" fontId="15" fillId="0" borderId="0" xfId="0" applyNumberFormat="1" applyFont="1" applyAlignment="1">
      <alignment vertical="center" readingOrder="1"/>
    </xf>
    <xf numFmtId="166" fontId="16" fillId="0" borderId="0" xfId="0" applyNumberFormat="1" applyFont="1" applyAlignment="1">
      <alignment horizontal="left" vertical="center" wrapText="1" indent="1" readingOrder="1"/>
    </xf>
    <xf numFmtId="0" fontId="22" fillId="0" borderId="0" xfId="0" applyFont="1" applyAlignment="1">
      <alignment horizontal="left" vertical="center" wrapText="1" indent="1" readingOrder="1"/>
    </xf>
    <xf numFmtId="0" fontId="15" fillId="0" borderId="0" xfId="0" applyFont="1" applyAlignment="1">
      <alignment horizontal="center" vertical="center" readingOrder="1"/>
    </xf>
    <xf numFmtId="3" fontId="20" fillId="0" borderId="0" xfId="0" applyNumberFormat="1" applyFont="1" applyAlignment="1">
      <alignment horizontal="left" vertical="center" wrapText="1" indent="1" readingOrder="1"/>
    </xf>
    <xf numFmtId="3" fontId="15" fillId="0" borderId="0" xfId="0" applyNumberFormat="1" applyFont="1" applyAlignment="1">
      <alignment horizontal="center" vertical="center" readingOrder="1"/>
    </xf>
    <xf numFmtId="167" fontId="15" fillId="0" borderId="0" xfId="0" applyNumberFormat="1" applyFont="1" applyAlignment="1">
      <alignment horizontal="center" vertical="center" readingOrder="1"/>
    </xf>
    <xf numFmtId="3" fontId="16" fillId="0" borderId="0" xfId="0" applyNumberFormat="1" applyFont="1" applyAlignment="1">
      <alignment horizontal="left" vertical="center" wrapText="1" indent="1" readingOrder="1"/>
    </xf>
    <xf numFmtId="3" fontId="23" fillId="0" borderId="0" xfId="0" applyNumberFormat="1" applyFont="1" applyAlignment="1">
      <alignment horizontal="left" vertical="center" wrapText="1" indent="1" readingOrder="1"/>
    </xf>
    <xf numFmtId="0" fontId="18" fillId="0" borderId="0" xfId="0" applyFont="1" applyAlignment="1">
      <alignment horizontal="center" vertical="center" readingOrder="1"/>
    </xf>
    <xf numFmtId="0" fontId="15" fillId="0" borderId="0" xfId="0" applyFont="1" applyAlignment="1">
      <alignment vertical="center" wrapText="1" readingOrder="1"/>
    </xf>
    <xf numFmtId="0" fontId="15" fillId="0" borderId="1" xfId="0" applyFont="1" applyBorder="1" applyAlignment="1" applyProtection="1">
      <alignment horizontal="center" vertical="center" readingOrder="1"/>
      <protection locked="0"/>
    </xf>
    <xf numFmtId="0" fontId="16" fillId="0" borderId="0" xfId="0" applyFont="1" applyAlignment="1">
      <alignment horizontal="left" vertical="center" wrapText="1" indent="1" readingOrder="1"/>
    </xf>
    <xf numFmtId="0" fontId="20" fillId="0" borderId="0" xfId="0" applyFont="1" applyAlignment="1">
      <alignment horizontal="left" vertical="center" wrapText="1" indent="1" readingOrder="1"/>
    </xf>
    <xf numFmtId="0" fontId="15" fillId="0" borderId="0" xfId="0" applyFont="1" applyAlignment="1" applyProtection="1">
      <alignment vertical="center" readingOrder="1"/>
      <protection locked="0"/>
    </xf>
    <xf numFmtId="2" fontId="15" fillId="0" borderId="0" xfId="0" applyNumberFormat="1" applyFont="1" applyAlignment="1">
      <alignment vertical="center" readingOrder="1"/>
    </xf>
    <xf numFmtId="0" fontId="26" fillId="0" borderId="0" xfId="0" applyFont="1" applyAlignment="1">
      <alignment vertical="center" readingOrder="1"/>
    </xf>
    <xf numFmtId="0" fontId="15" fillId="0" borderId="32" xfId="0" applyFont="1" applyBorder="1" applyAlignment="1" applyProtection="1">
      <alignment vertical="center" readingOrder="1"/>
      <protection locked="0"/>
    </xf>
    <xf numFmtId="0" fontId="18" fillId="0" borderId="0" xfId="0" applyFont="1" applyAlignment="1" applyProtection="1">
      <alignment vertical="center" readingOrder="1"/>
      <protection locked="0"/>
    </xf>
    <xf numFmtId="0" fontId="15" fillId="0" borderId="0" xfId="0" applyFont="1" applyAlignment="1" applyProtection="1">
      <alignment horizontal="left" vertical="center" readingOrder="1"/>
      <protection locked="0"/>
    </xf>
    <xf numFmtId="0" fontId="21" fillId="0" borderId="0" xfId="0" applyFont="1" applyAlignment="1">
      <alignment vertical="center" readingOrder="1"/>
    </xf>
    <xf numFmtId="0" fontId="0" fillId="0" borderId="0" xfId="0" applyAlignment="1">
      <alignment vertical="center" readingOrder="1"/>
    </xf>
    <xf numFmtId="9" fontId="18" fillId="0" borderId="0" xfId="0" quotePrefix="1" applyNumberFormat="1" applyFont="1" applyAlignment="1">
      <alignment horizontal="center" vertical="center" readingOrder="1"/>
    </xf>
    <xf numFmtId="0" fontId="18" fillId="0" borderId="0" xfId="0" applyFont="1" applyAlignment="1">
      <alignment vertical="center" readingOrder="1"/>
    </xf>
    <xf numFmtId="0" fontId="18" fillId="0" borderId="0" xfId="0" quotePrefix="1" applyFont="1" applyAlignment="1">
      <alignment horizontal="center" vertical="center" readingOrder="1"/>
    </xf>
    <xf numFmtId="10" fontId="15" fillId="0" borderId="0" xfId="4" applyNumberFormat="1" applyFont="1" applyFill="1" applyBorder="1" applyAlignment="1" applyProtection="1">
      <alignment vertical="center" readingOrder="1"/>
    </xf>
    <xf numFmtId="0" fontId="15" fillId="0" borderId="0" xfId="0" applyFont="1" applyAlignment="1" applyProtection="1">
      <alignment horizontal="center" vertical="center" wrapText="1" readingOrder="1"/>
      <protection locked="0"/>
    </xf>
    <xf numFmtId="10" fontId="18" fillId="0" borderId="0" xfId="4" applyNumberFormat="1" applyFont="1" applyFill="1" applyBorder="1" applyAlignment="1" applyProtection="1">
      <alignment vertical="center" readingOrder="1"/>
    </xf>
    <xf numFmtId="3" fontId="15" fillId="0" borderId="0" xfId="5" applyNumberFormat="1" applyFont="1" applyAlignment="1" applyProtection="1">
      <alignment horizontal="center" vertical="center" readingOrder="1"/>
      <protection locked="0"/>
    </xf>
    <xf numFmtId="0" fontId="24" fillId="0" borderId="0" xfId="0" applyFont="1" applyAlignment="1">
      <alignment horizontal="left" vertical="center" wrapText="1" indent="1" readingOrder="1"/>
    </xf>
    <xf numFmtId="0" fontId="25" fillId="0" borderId="0" xfId="0" applyFont="1" applyAlignment="1">
      <alignment vertical="center" readingOrder="1"/>
    </xf>
    <xf numFmtId="0" fontId="18" fillId="0" borderId="0" xfId="0" applyFont="1" applyAlignment="1" applyProtection="1">
      <alignment horizontal="center" vertical="center" wrapText="1" readingOrder="1"/>
      <protection locked="0"/>
    </xf>
    <xf numFmtId="0" fontId="18" fillId="0" borderId="0" xfId="0" applyFont="1" applyAlignment="1" applyProtection="1">
      <alignment horizontal="center" vertical="center" readingOrder="1"/>
      <protection locked="0"/>
    </xf>
    <xf numFmtId="167" fontId="15" fillId="0" borderId="0" xfId="5" applyNumberFormat="1" applyFont="1" applyAlignment="1" applyProtection="1">
      <alignment horizontal="center" vertical="center" readingOrder="1"/>
      <protection locked="0"/>
    </xf>
    <xf numFmtId="168" fontId="15" fillId="0" borderId="0" xfId="4" applyNumberFormat="1" applyFont="1" applyFill="1" applyBorder="1" applyAlignment="1" applyProtection="1">
      <alignment horizontal="center" vertical="center" readingOrder="1"/>
      <protection locked="0"/>
    </xf>
    <xf numFmtId="3" fontId="18" fillId="0" borderId="0" xfId="5" applyNumberFormat="1" applyFont="1" applyAlignment="1" applyProtection="1">
      <alignment horizontal="center" vertical="center" readingOrder="1"/>
      <protection locked="0"/>
    </xf>
    <xf numFmtId="167" fontId="18" fillId="0" borderId="0" xfId="5" applyNumberFormat="1" applyFont="1" applyAlignment="1" applyProtection="1">
      <alignment horizontal="center" vertical="center" readingOrder="1"/>
      <protection locked="0"/>
    </xf>
    <xf numFmtId="169" fontId="25" fillId="0" borderId="0" xfId="0" applyNumberFormat="1" applyFont="1" applyAlignment="1" applyProtection="1">
      <alignment horizontal="center" vertical="center" readingOrder="1"/>
      <protection locked="0"/>
    </xf>
    <xf numFmtId="170" fontId="15" fillId="0" borderId="0" xfId="3" applyNumberFormat="1" applyFont="1" applyFill="1" applyBorder="1" applyAlignment="1" applyProtection="1">
      <alignment vertical="center" readingOrder="1"/>
      <protection locked="0"/>
    </xf>
    <xf numFmtId="169" fontId="20" fillId="0" borderId="0" xfId="0" applyNumberFormat="1" applyFont="1" applyAlignment="1">
      <alignment horizontal="left" vertical="center" wrapText="1" indent="1" readingOrder="1"/>
    </xf>
    <xf numFmtId="0" fontId="25" fillId="0" borderId="0" xfId="0" applyFont="1" applyAlignment="1" applyProtection="1">
      <alignment vertical="center" readingOrder="1"/>
      <protection locked="0"/>
    </xf>
    <xf numFmtId="14" fontId="15" fillId="0" borderId="0" xfId="0" applyNumberFormat="1" applyFont="1" applyAlignment="1" applyProtection="1">
      <alignment vertical="center" readingOrder="1"/>
      <protection locked="0"/>
    </xf>
    <xf numFmtId="14" fontId="15" fillId="0" borderId="0" xfId="0" applyNumberFormat="1" applyFont="1" applyAlignment="1" applyProtection="1">
      <alignment horizontal="left" vertical="center" readingOrder="1"/>
      <protection locked="0"/>
    </xf>
    <xf numFmtId="171" fontId="15" fillId="0" borderId="0" xfId="0" applyNumberFormat="1" applyFont="1" applyAlignment="1" applyProtection="1">
      <alignment vertical="center" readingOrder="1"/>
      <protection locked="0"/>
    </xf>
    <xf numFmtId="0" fontId="15" fillId="0" borderId="0" xfId="0" applyFont="1" applyAlignment="1" applyProtection="1">
      <alignment horizontal="right" vertical="center" readingOrder="1"/>
      <protection locked="0"/>
    </xf>
    <xf numFmtId="9" fontId="15" fillId="0" borderId="0" xfId="4" applyFont="1" applyFill="1" applyBorder="1" applyAlignment="1" applyProtection="1">
      <alignment vertical="center" readingOrder="1"/>
      <protection locked="0"/>
    </xf>
    <xf numFmtId="0" fontId="15" fillId="0" borderId="30" xfId="0" applyFont="1" applyBorder="1" applyAlignment="1" applyProtection="1">
      <alignment horizontal="center" vertical="center" wrapText="1" readingOrder="1"/>
      <protection locked="0"/>
    </xf>
    <xf numFmtId="0" fontId="15" fillId="0" borderId="21" xfId="0" applyFont="1" applyBorder="1" applyAlignment="1" applyProtection="1">
      <alignment horizontal="center" vertical="center" wrapText="1" readingOrder="1"/>
      <protection locked="0"/>
    </xf>
    <xf numFmtId="3" fontId="15" fillId="10" borderId="39" xfId="0" applyNumberFormat="1" applyFont="1" applyFill="1" applyBorder="1" applyAlignment="1">
      <alignment horizontal="center" vertical="center" readingOrder="1"/>
    </xf>
    <xf numFmtId="0" fontId="26" fillId="0" borderId="0" xfId="0" applyFont="1" applyAlignment="1" applyProtection="1">
      <alignment vertical="center" wrapText="1" readingOrder="1"/>
      <protection locked="0"/>
    </xf>
    <xf numFmtId="9" fontId="26" fillId="0" borderId="0" xfId="4" applyFont="1" applyFill="1" applyBorder="1" applyAlignment="1" applyProtection="1">
      <alignment vertical="center" readingOrder="1"/>
      <protection locked="0"/>
    </xf>
    <xf numFmtId="0" fontId="15" fillId="9" borderId="0" xfId="1" applyFont="1" applyFill="1" applyAlignment="1" applyProtection="1">
      <alignment vertical="center" readingOrder="1"/>
      <protection locked="0"/>
    </xf>
    <xf numFmtId="0" fontId="16" fillId="9" borderId="0" xfId="1" applyFont="1" applyFill="1" applyAlignment="1">
      <alignment horizontal="left" vertical="center" wrapText="1" indent="1" readingOrder="1"/>
    </xf>
    <xf numFmtId="0" fontId="15" fillId="9" borderId="0" xfId="1" applyFont="1" applyFill="1" applyAlignment="1">
      <alignment vertical="center" readingOrder="1"/>
    </xf>
    <xf numFmtId="0" fontId="27" fillId="0" borderId="0" xfId="7" applyFont="1" applyAlignment="1">
      <alignment horizontal="center" vertical="center" wrapText="1"/>
    </xf>
    <xf numFmtId="0" fontId="29" fillId="0" borderId="0" xfId="7" applyFont="1" applyAlignment="1">
      <alignment horizontal="center" vertical="center" wrapText="1"/>
    </xf>
    <xf numFmtId="0" fontId="28" fillId="0" borderId="0" xfId="7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4" fillId="14" borderId="1" xfId="0" applyFont="1" applyFill="1" applyBorder="1" applyAlignment="1">
      <alignment vertical="center"/>
    </xf>
    <xf numFmtId="0" fontId="40" fillId="7" borderId="1" xfId="0" applyFont="1" applyFill="1" applyBorder="1" applyAlignment="1">
      <alignment vertical="center" wrapText="1"/>
    </xf>
    <xf numFmtId="0" fontId="31" fillId="0" borderId="11" xfId="0" applyFont="1" applyBorder="1" applyAlignment="1">
      <alignment horizontal="center" vertical="center"/>
    </xf>
    <xf numFmtId="0" fontId="42" fillId="7" borderId="35" xfId="0" applyFont="1" applyFill="1" applyBorder="1" applyAlignment="1">
      <alignment horizontal="left" vertical="center"/>
    </xf>
    <xf numFmtId="0" fontId="42" fillId="7" borderId="1" xfId="0" applyFont="1" applyFill="1" applyBorder="1" applyAlignment="1">
      <alignment horizontal="left" vertical="center"/>
    </xf>
    <xf numFmtId="0" fontId="42" fillId="7" borderId="0" xfId="0" applyFont="1" applyFill="1" applyAlignment="1">
      <alignment horizontal="left" vertical="center"/>
    </xf>
    <xf numFmtId="0" fontId="42" fillId="7" borderId="0" xfId="0" applyFont="1" applyFill="1" applyAlignment="1">
      <alignment horizontal="left" vertical="top"/>
    </xf>
    <xf numFmtId="0" fontId="42" fillId="7" borderId="2" xfId="0" applyFont="1" applyFill="1" applyBorder="1" applyAlignment="1">
      <alignment horizontal="left" vertical="center"/>
    </xf>
    <xf numFmtId="0" fontId="42" fillId="7" borderId="34" xfId="0" applyFont="1" applyFill="1" applyBorder="1" applyAlignment="1">
      <alignment horizontal="left" vertical="top"/>
    </xf>
    <xf numFmtId="0" fontId="42" fillId="7" borderId="44" xfId="0" applyFont="1" applyFill="1" applyBorder="1" applyAlignment="1">
      <alignment horizontal="left" vertical="center" wrapText="1"/>
    </xf>
    <xf numFmtId="0" fontId="42" fillId="7" borderId="8" xfId="0" applyFont="1" applyFill="1" applyBorder="1" applyAlignment="1">
      <alignment horizontal="left" vertical="center"/>
    </xf>
    <xf numFmtId="0" fontId="42" fillId="7" borderId="12" xfId="0" applyFont="1" applyFill="1" applyBorder="1" applyAlignment="1">
      <alignment horizontal="left" vertical="center"/>
    </xf>
    <xf numFmtId="0" fontId="42" fillId="7" borderId="1" xfId="0" applyFont="1" applyFill="1" applyBorder="1" applyAlignment="1">
      <alignment horizontal="left" vertical="center" wrapText="1"/>
    </xf>
    <xf numFmtId="0" fontId="43" fillId="0" borderId="1" xfId="0" applyFont="1" applyBorder="1" applyAlignment="1" applyProtection="1">
      <alignment horizontal="left"/>
      <protection hidden="1"/>
    </xf>
    <xf numFmtId="0" fontId="43" fillId="0" borderId="1" xfId="0" applyFont="1" applyBorder="1" applyAlignment="1" applyProtection="1">
      <alignment horizontal="center"/>
      <protection hidden="1"/>
    </xf>
    <xf numFmtId="0" fontId="38" fillId="13" borderId="1" xfId="0" applyFont="1" applyFill="1" applyBorder="1" applyAlignment="1">
      <alignment horizontal="center"/>
    </xf>
    <xf numFmtId="0" fontId="38" fillId="13" borderId="9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vertical="center" wrapText="1"/>
    </xf>
    <xf numFmtId="0" fontId="42" fillId="7" borderId="12" xfId="0" applyFont="1" applyFill="1" applyBorder="1" applyAlignment="1">
      <alignment horizontal="left" vertical="top"/>
    </xf>
    <xf numFmtId="0" fontId="42" fillId="7" borderId="1" xfId="0" applyFont="1" applyFill="1" applyBorder="1" applyAlignment="1">
      <alignment horizontal="left" vertical="top"/>
    </xf>
    <xf numFmtId="0" fontId="36" fillId="9" borderId="0" xfId="0" applyFont="1" applyFill="1" applyAlignment="1">
      <alignment vertical="top"/>
    </xf>
    <xf numFmtId="0" fontId="38" fillId="14" borderId="0" xfId="0" applyFont="1" applyFill="1" applyAlignment="1">
      <alignment vertical="top"/>
    </xf>
    <xf numFmtId="0" fontId="12" fillId="0" borderId="0" xfId="0" applyFont="1" applyAlignment="1">
      <alignment vertical="center" wrapText="1"/>
    </xf>
    <xf numFmtId="0" fontId="11" fillId="7" borderId="1" xfId="0" applyFont="1" applyFill="1" applyBorder="1" applyAlignment="1">
      <alignment horizontal="center" vertical="center"/>
    </xf>
    <xf numFmtId="0" fontId="34" fillId="14" borderId="28" xfId="0" applyFont="1" applyFill="1" applyBorder="1" applyAlignment="1">
      <alignment vertical="center"/>
    </xf>
    <xf numFmtId="0" fontId="34" fillId="14" borderId="4" xfId="0" applyFont="1" applyFill="1" applyBorder="1" applyAlignment="1">
      <alignment vertical="center"/>
    </xf>
    <xf numFmtId="0" fontId="15" fillId="0" borderId="30" xfId="0" applyFont="1" applyBorder="1" applyAlignment="1" applyProtection="1">
      <alignment vertical="center" readingOrder="1"/>
      <protection locked="0"/>
    </xf>
    <xf numFmtId="0" fontId="19" fillId="0" borderId="40" xfId="0" applyFont="1" applyBorder="1" applyAlignment="1" applyProtection="1">
      <alignment vertical="center" readingOrder="1"/>
      <protection locked="0"/>
    </xf>
    <xf numFmtId="3" fontId="15" fillId="0" borderId="27" xfId="1" applyNumberFormat="1" applyFont="1" applyBorder="1" applyAlignment="1">
      <alignment horizontal="center" vertical="center" readingOrder="1"/>
    </xf>
    <xf numFmtId="3" fontId="15" fillId="0" borderId="28" xfId="1" applyNumberFormat="1" applyFont="1" applyBorder="1" applyAlignment="1">
      <alignment horizontal="center" vertical="center" readingOrder="1"/>
    </xf>
    <xf numFmtId="3" fontId="15" fillId="0" borderId="39" xfId="1" applyNumberFormat="1" applyFont="1" applyBorder="1" applyAlignment="1">
      <alignment horizontal="center" vertical="center" readingOrder="1"/>
    </xf>
    <xf numFmtId="3" fontId="15" fillId="0" borderId="42" xfId="1" applyNumberFormat="1" applyFont="1" applyBorder="1" applyAlignment="1">
      <alignment horizontal="center" vertical="center" readingOrder="1"/>
    </xf>
    <xf numFmtId="0" fontId="38" fillId="13" borderId="9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horizontal="center" vertical="center" wrapText="1"/>
    </xf>
    <xf numFmtId="0" fontId="38" fillId="13" borderId="42" xfId="0" applyFont="1" applyFill="1" applyBorder="1" applyAlignment="1">
      <alignment horizontal="center" vertical="center"/>
    </xf>
    <xf numFmtId="0" fontId="44" fillId="7" borderId="28" xfId="0" applyFont="1" applyFill="1" applyBorder="1" applyAlignment="1">
      <alignment horizontal="center" vertical="center" wrapText="1"/>
    </xf>
    <xf numFmtId="0" fontId="44" fillId="7" borderId="33" xfId="0" applyFont="1" applyFill="1" applyBorder="1" applyAlignment="1">
      <alignment horizontal="center" vertical="center" wrapText="1"/>
    </xf>
    <xf numFmtId="0" fontId="15" fillId="9" borderId="0" xfId="0" applyFont="1" applyFill="1" applyAlignment="1">
      <alignment vertical="center" readingOrder="1"/>
    </xf>
    <xf numFmtId="0" fontId="0" fillId="9" borderId="0" xfId="0" applyFill="1" applyAlignment="1">
      <alignment vertical="center" readingOrder="1"/>
    </xf>
    <xf numFmtId="9" fontId="18" fillId="9" borderId="0" xfId="0" quotePrefix="1" applyNumberFormat="1" applyFont="1" applyFill="1" applyAlignment="1">
      <alignment horizontal="center" vertical="center" readingOrder="1"/>
    </xf>
    <xf numFmtId="0" fontId="18" fillId="9" borderId="0" xfId="0" applyFont="1" applyFill="1" applyAlignment="1">
      <alignment horizontal="center" vertical="center" readingOrder="1"/>
    </xf>
    <xf numFmtId="0" fontId="18" fillId="9" borderId="0" xfId="0" applyFont="1" applyFill="1" applyAlignment="1">
      <alignment vertical="center" readingOrder="1"/>
    </xf>
    <xf numFmtId="0" fontId="18" fillId="9" borderId="0" xfId="0" quotePrefix="1" applyFont="1" applyFill="1" applyAlignment="1">
      <alignment horizontal="center" vertical="center" readingOrder="1"/>
    </xf>
    <xf numFmtId="10" fontId="15" fillId="9" borderId="0" xfId="4" applyNumberFormat="1" applyFont="1" applyFill="1" applyBorder="1" applyAlignment="1" applyProtection="1">
      <alignment vertical="center" readingOrder="1"/>
    </xf>
    <xf numFmtId="0" fontId="34" fillId="14" borderId="0" xfId="0" applyFont="1" applyFill="1" applyAlignment="1" applyProtection="1">
      <alignment vertical="center"/>
      <protection locked="0"/>
    </xf>
    <xf numFmtId="0" fontId="15" fillId="0" borderId="10" xfId="0" applyFont="1" applyBorder="1" applyAlignment="1">
      <alignment horizontal="center" vertical="center" wrapText="1" readingOrder="1"/>
    </xf>
    <xf numFmtId="0" fontId="15" fillId="0" borderId="50" xfId="1" applyFont="1" applyBorder="1" applyAlignment="1">
      <alignment horizontal="center" vertical="center" wrapText="1" readingOrder="1"/>
    </xf>
    <xf numFmtId="0" fontId="15" fillId="9" borderId="35" xfId="1" applyFont="1" applyFill="1" applyBorder="1" applyAlignment="1">
      <alignment horizontal="center" vertical="center" readingOrder="1"/>
    </xf>
    <xf numFmtId="0" fontId="15" fillId="9" borderId="1" xfId="1" applyFont="1" applyFill="1" applyBorder="1" applyAlignment="1">
      <alignment horizontal="center" vertical="center" readingOrder="1"/>
    </xf>
    <xf numFmtId="0" fontId="18" fillId="0" borderId="0" xfId="0" applyFont="1" applyAlignment="1">
      <alignment horizontal="right" vertical="center" readingOrder="1"/>
    </xf>
    <xf numFmtId="0" fontId="18" fillId="0" borderId="1" xfId="0" applyFont="1" applyBorder="1" applyAlignment="1" applyProtection="1">
      <alignment vertical="center" readingOrder="1"/>
      <protection hidden="1"/>
    </xf>
    <xf numFmtId="0" fontId="0" fillId="0" borderId="0" xfId="0" applyAlignment="1">
      <alignment horizontal="left"/>
    </xf>
    <xf numFmtId="0" fontId="7" fillId="0" borderId="0" xfId="0" applyFont="1" applyAlignment="1">
      <alignment vertical="top" wrapText="1"/>
    </xf>
    <xf numFmtId="0" fontId="42" fillId="7" borderId="3" xfId="0" applyFont="1" applyFill="1" applyBorder="1" applyAlignment="1">
      <alignment horizontal="left" vertical="center"/>
    </xf>
    <xf numFmtId="0" fontId="0" fillId="15" borderId="0" xfId="0" applyFill="1"/>
    <xf numFmtId="49" fontId="50" fillId="0" borderId="0" xfId="0" applyNumberFormat="1" applyFont="1" applyAlignment="1">
      <alignment horizontal="left"/>
    </xf>
    <xf numFmtId="0" fontId="11" fillId="0" borderId="1" xfId="0" applyFont="1" applyBorder="1" applyAlignment="1" applyProtection="1">
      <alignment horizontal="left"/>
      <protection hidden="1"/>
    </xf>
    <xf numFmtId="0" fontId="18" fillId="0" borderId="2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72" fontId="51" fillId="0" borderId="1" xfId="0" applyNumberFormat="1" applyFont="1" applyBorder="1" applyAlignment="1" applyProtection="1">
      <alignment vertical="center"/>
      <protection locked="0"/>
    </xf>
    <xf numFmtId="172" fontId="51" fillId="0" borderId="3" xfId="0" applyNumberFormat="1" applyFont="1" applyBorder="1" applyAlignment="1" applyProtection="1">
      <alignment vertical="center"/>
      <protection locked="0"/>
    </xf>
    <xf numFmtId="173" fontId="51" fillId="0" borderId="1" xfId="0" applyNumberFormat="1" applyFont="1" applyBorder="1" applyAlignment="1" applyProtection="1">
      <alignment vertical="center"/>
      <protection locked="0"/>
    </xf>
    <xf numFmtId="0" fontId="18" fillId="0" borderId="4" xfId="0" applyFont="1" applyBorder="1" applyAlignment="1" applyProtection="1">
      <alignment vertical="center"/>
      <protection locked="0"/>
    </xf>
    <xf numFmtId="0" fontId="18" fillId="0" borderId="28" xfId="0" applyFont="1" applyBorder="1" applyAlignment="1" applyProtection="1">
      <alignment vertical="center"/>
      <protection locked="0"/>
    </xf>
    <xf numFmtId="0" fontId="34" fillId="14" borderId="1" xfId="0" applyFont="1" applyFill="1" applyBorder="1" applyAlignment="1" applyProtection="1">
      <alignment horizontal="center" vertical="center"/>
      <protection locked="0"/>
    </xf>
    <xf numFmtId="0" fontId="43" fillId="0" borderId="1" xfId="0" applyFont="1" applyBorder="1" applyAlignment="1" applyProtection="1">
      <alignment horizontal="center"/>
      <protection locked="0" hidden="1"/>
    </xf>
    <xf numFmtId="0" fontId="38" fillId="13" borderId="47" xfId="0" applyFont="1" applyFill="1" applyBorder="1" applyAlignment="1">
      <alignment horizontal="center" vertical="center"/>
    </xf>
    <xf numFmtId="0" fontId="24" fillId="0" borderId="59" xfId="0" applyFont="1" applyBorder="1" applyAlignment="1">
      <alignment horizontal="left" vertical="center" wrapText="1" indent="1" readingOrder="1"/>
    </xf>
    <xf numFmtId="0" fontId="38" fillId="0" borderId="63" xfId="0" applyFont="1" applyBorder="1" applyAlignment="1" applyProtection="1">
      <alignment horizontal="center" vertical="center"/>
      <protection hidden="1"/>
    </xf>
    <xf numFmtId="1" fontId="52" fillId="0" borderId="1" xfId="8" applyNumberFormat="1" applyFont="1" applyFill="1" applyBorder="1" applyAlignment="1" applyProtection="1">
      <alignment horizontal="center" vertical="center"/>
      <protection locked="0"/>
    </xf>
    <xf numFmtId="0" fontId="43" fillId="0" borderId="1" xfId="0" applyFont="1" applyBorder="1" applyAlignment="1" applyProtection="1">
      <alignment horizontal="left"/>
      <protection locked="0" hidden="1"/>
    </xf>
    <xf numFmtId="0" fontId="16" fillId="0" borderId="16" xfId="0" applyFont="1" applyBorder="1" applyAlignment="1">
      <alignment vertical="center" wrapText="1" readingOrder="1"/>
    </xf>
    <xf numFmtId="0" fontId="53" fillId="0" borderId="65" xfId="0" applyFont="1" applyBorder="1" applyAlignment="1">
      <alignment vertical="center" wrapText="1" readingOrder="1"/>
    </xf>
    <xf numFmtId="0" fontId="16" fillId="0" borderId="65" xfId="0" applyFont="1" applyBorder="1" applyAlignment="1">
      <alignment vertical="center" wrapText="1" readingOrder="1"/>
    </xf>
    <xf numFmtId="0" fontId="10" fillId="11" borderId="6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16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39" fillId="13" borderId="6" xfId="0" applyFont="1" applyFill="1" applyBorder="1" applyAlignment="1">
      <alignment horizontal="left" vertical="center"/>
    </xf>
    <xf numFmtId="0" fontId="39" fillId="13" borderId="7" xfId="0" applyFont="1" applyFill="1" applyBorder="1" applyAlignment="1">
      <alignment horizontal="left" vertical="center"/>
    </xf>
    <xf numFmtId="0" fontId="39" fillId="13" borderId="10" xfId="0" applyFont="1" applyFill="1" applyBorder="1" applyAlignment="1">
      <alignment horizontal="left" vertical="center"/>
    </xf>
    <xf numFmtId="0" fontId="39" fillId="13" borderId="11" xfId="0" applyFont="1" applyFill="1" applyBorder="1" applyAlignment="1">
      <alignment horizontal="left" vertical="center"/>
    </xf>
    <xf numFmtId="0" fontId="33" fillId="13" borderId="45" xfId="0" applyFont="1" applyFill="1" applyBorder="1" applyAlignment="1">
      <alignment horizontal="center" vertical="center"/>
    </xf>
    <xf numFmtId="0" fontId="33" fillId="13" borderId="11" xfId="0" applyFont="1" applyFill="1" applyBorder="1" applyAlignment="1">
      <alignment horizontal="center" vertical="center"/>
    </xf>
    <xf numFmtId="0" fontId="18" fillId="0" borderId="2" xfId="0" applyFont="1" applyBorder="1" applyAlignment="1" applyProtection="1">
      <alignment horizontal="center" vertical="center"/>
      <protection locked="0"/>
    </xf>
    <xf numFmtId="0" fontId="18" fillId="0" borderId="3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7" xfId="0" applyFont="1" applyBorder="1" applyAlignment="1" applyProtection="1">
      <alignment horizontal="center" vertical="center"/>
      <protection locked="0"/>
    </xf>
    <xf numFmtId="0" fontId="44" fillId="7" borderId="1" xfId="0" applyFont="1" applyFill="1" applyBorder="1" applyAlignment="1">
      <alignment horizontal="left" vertical="center" wrapText="1"/>
    </xf>
    <xf numFmtId="0" fontId="38" fillId="13" borderId="10" xfId="0" applyFont="1" applyFill="1" applyBorder="1" applyAlignment="1">
      <alignment horizontal="center"/>
    </xf>
    <xf numFmtId="0" fontId="38" fillId="13" borderId="11" xfId="0" applyFont="1" applyFill="1" applyBorder="1" applyAlignment="1">
      <alignment horizontal="center"/>
    </xf>
    <xf numFmtId="0" fontId="54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 wrapText="1"/>
    </xf>
    <xf numFmtId="0" fontId="18" fillId="0" borderId="1" xfId="0" applyFont="1" applyBorder="1" applyAlignment="1" applyProtection="1">
      <alignment horizontal="center" vertical="center"/>
      <protection locked="0"/>
    </xf>
    <xf numFmtId="0" fontId="44" fillId="7" borderId="5" xfId="0" applyFont="1" applyFill="1" applyBorder="1" applyAlignment="1">
      <alignment horizontal="left" vertical="center" wrapText="1"/>
    </xf>
    <xf numFmtId="0" fontId="44" fillId="7" borderId="15" xfId="0" applyFont="1" applyFill="1" applyBorder="1" applyAlignment="1">
      <alignment horizontal="left" vertical="center" wrapText="1"/>
    </xf>
    <xf numFmtId="0" fontId="44" fillId="7" borderId="9" xfId="0" applyFont="1" applyFill="1" applyBorder="1" applyAlignment="1">
      <alignment horizontal="left" vertical="center" wrapText="1"/>
    </xf>
    <xf numFmtId="0" fontId="11" fillId="0" borderId="1" xfId="0" applyFont="1" applyBorder="1" applyAlignment="1" applyProtection="1">
      <alignment horizontal="center"/>
      <protection hidden="1"/>
    </xf>
    <xf numFmtId="0" fontId="18" fillId="0" borderId="2" xfId="0" applyFont="1" applyBorder="1" applyAlignment="1" applyProtection="1">
      <alignment horizontal="left" vertical="center"/>
      <protection locked="0"/>
    </xf>
    <xf numFmtId="0" fontId="18" fillId="0" borderId="3" xfId="0" applyFont="1" applyBorder="1" applyAlignment="1" applyProtection="1">
      <alignment horizontal="left" vertical="center"/>
      <protection locked="0"/>
    </xf>
    <xf numFmtId="0" fontId="18" fillId="0" borderId="4" xfId="0" applyFont="1" applyBorder="1" applyAlignment="1" applyProtection="1">
      <alignment horizontal="left" vertical="center"/>
      <protection locked="0"/>
    </xf>
    <xf numFmtId="0" fontId="11" fillId="0" borderId="2" xfId="0" applyFont="1" applyBorder="1" applyAlignment="1" applyProtection="1">
      <alignment horizontal="left"/>
      <protection hidden="1"/>
    </xf>
    <xf numFmtId="0" fontId="11" fillId="0" borderId="4" xfId="0" applyFont="1" applyBorder="1" applyAlignment="1" applyProtection="1">
      <alignment horizontal="left"/>
      <protection hidden="1"/>
    </xf>
    <xf numFmtId="0" fontId="18" fillId="0" borderId="10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left" vertical="center"/>
      <protection locked="0"/>
    </xf>
    <xf numFmtId="0" fontId="18" fillId="0" borderId="8" xfId="0" applyFont="1" applyBorder="1" applyAlignment="1" applyProtection="1">
      <alignment horizontal="center" vertical="center"/>
      <protection locked="0"/>
    </xf>
    <xf numFmtId="0" fontId="16" fillId="0" borderId="52" xfId="0" applyFont="1" applyBorder="1" applyAlignment="1">
      <alignment horizontal="left" vertical="center" wrapText="1" readingOrder="1"/>
    </xf>
    <xf numFmtId="0" fontId="16" fillId="0" borderId="53" xfId="0" applyFont="1" applyBorder="1" applyAlignment="1">
      <alignment horizontal="left" vertical="center" wrapText="1" readingOrder="1"/>
    </xf>
    <xf numFmtId="0" fontId="16" fillId="0" borderId="54" xfId="0" applyFont="1" applyBorder="1" applyAlignment="1">
      <alignment horizontal="left" vertical="center" wrapText="1" readingOrder="1"/>
    </xf>
    <xf numFmtId="0" fontId="16" fillId="0" borderId="16" xfId="0" applyFont="1" applyBorder="1" applyAlignment="1">
      <alignment horizontal="left" vertical="center" wrapText="1" readingOrder="1"/>
    </xf>
    <xf numFmtId="0" fontId="16" fillId="0" borderId="0" xfId="0" applyFont="1" applyAlignment="1">
      <alignment horizontal="left" vertical="center" wrapText="1" readingOrder="1"/>
    </xf>
    <xf numFmtId="0" fontId="16" fillId="0" borderId="55" xfId="0" applyFont="1" applyBorder="1" applyAlignment="1">
      <alignment horizontal="left" vertical="center" wrapText="1" readingOrder="1"/>
    </xf>
    <xf numFmtId="0" fontId="16" fillId="0" borderId="56" xfId="0" applyFont="1" applyBorder="1" applyAlignment="1">
      <alignment horizontal="left" vertical="center" wrapText="1" readingOrder="1"/>
    </xf>
    <xf numFmtId="0" fontId="16" fillId="0" borderId="57" xfId="0" applyFont="1" applyBorder="1" applyAlignment="1">
      <alignment horizontal="left" vertical="center" wrapText="1" readingOrder="1"/>
    </xf>
    <xf numFmtId="0" fontId="16" fillId="0" borderId="58" xfId="0" applyFont="1" applyBorder="1" applyAlignment="1">
      <alignment horizontal="left" vertical="center" wrapText="1" readingOrder="1"/>
    </xf>
    <xf numFmtId="0" fontId="12" fillId="0" borderId="0" xfId="0" applyFont="1" applyAlignment="1">
      <alignment horizontal="left" vertical="top" wrapText="1"/>
    </xf>
    <xf numFmtId="0" fontId="32" fillId="14" borderId="6" xfId="0" applyFont="1" applyFill="1" applyBorder="1" applyAlignment="1">
      <alignment horizontal="center" vertical="center"/>
    </xf>
    <xf numFmtId="0" fontId="32" fillId="14" borderId="7" xfId="0" applyFont="1" applyFill="1" applyBorder="1" applyAlignment="1">
      <alignment horizontal="center" vertical="center"/>
    </xf>
    <xf numFmtId="0" fontId="32" fillId="14" borderId="8" xfId="0" applyFont="1" applyFill="1" applyBorder="1" applyAlignment="1">
      <alignment horizontal="center" vertical="center"/>
    </xf>
    <xf numFmtId="0" fontId="32" fillId="14" borderId="10" xfId="0" applyFont="1" applyFill="1" applyBorder="1" applyAlignment="1">
      <alignment horizontal="center" vertical="center"/>
    </xf>
    <xf numFmtId="0" fontId="32" fillId="14" borderId="11" xfId="0" applyFont="1" applyFill="1" applyBorder="1" applyAlignment="1">
      <alignment horizontal="center" vertical="center"/>
    </xf>
    <xf numFmtId="0" fontId="32" fillId="14" borderId="12" xfId="0" applyFont="1" applyFill="1" applyBorder="1" applyAlignment="1">
      <alignment horizontal="center" vertical="center"/>
    </xf>
    <xf numFmtId="0" fontId="38" fillId="13" borderId="2" xfId="0" applyFont="1" applyFill="1" applyBorder="1" applyAlignment="1">
      <alignment horizontal="center"/>
    </xf>
    <xf numFmtId="0" fontId="38" fillId="13" borderId="4" xfId="0" applyFont="1" applyFill="1" applyBorder="1" applyAlignment="1">
      <alignment horizontal="center"/>
    </xf>
    <xf numFmtId="0" fontId="43" fillId="0" borderId="2" xfId="0" applyFont="1" applyBorder="1" applyAlignment="1" applyProtection="1">
      <alignment horizontal="center"/>
      <protection locked="0" hidden="1"/>
    </xf>
    <xf numFmtId="0" fontId="43" fillId="0" borderId="3" xfId="0" applyFont="1" applyBorder="1" applyAlignment="1" applyProtection="1">
      <alignment horizontal="center"/>
      <protection locked="0" hidden="1"/>
    </xf>
    <xf numFmtId="0" fontId="43" fillId="0" borderId="4" xfId="0" applyFont="1" applyBorder="1" applyAlignment="1" applyProtection="1">
      <alignment horizontal="center"/>
      <protection locked="0" hidden="1"/>
    </xf>
    <xf numFmtId="0" fontId="33" fillId="13" borderId="4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51" fillId="0" borderId="2" xfId="0" applyFont="1" applyBorder="1" applyAlignment="1" applyProtection="1">
      <alignment horizontal="left" vertical="center"/>
      <protection locked="0"/>
    </xf>
    <xf numFmtId="0" fontId="51" fillId="0" borderId="3" xfId="0" applyFont="1" applyBorder="1" applyAlignment="1" applyProtection="1">
      <alignment horizontal="left" vertical="center"/>
      <protection locked="0"/>
    </xf>
    <xf numFmtId="0" fontId="51" fillId="0" borderId="4" xfId="0" applyFont="1" applyBorder="1" applyAlignment="1" applyProtection="1">
      <alignment horizontal="left" vertical="center"/>
      <protection locked="0"/>
    </xf>
    <xf numFmtId="0" fontId="43" fillId="0" borderId="2" xfId="0" applyFont="1" applyBorder="1" applyAlignment="1" applyProtection="1">
      <alignment horizontal="center"/>
      <protection hidden="1"/>
    </xf>
    <xf numFmtId="0" fontId="43" fillId="0" borderId="3" xfId="0" applyFont="1" applyBorder="1" applyAlignment="1" applyProtection="1">
      <alignment horizontal="center"/>
      <protection hidden="1"/>
    </xf>
    <xf numFmtId="0" fontId="43" fillId="0" borderId="4" xfId="0" applyFont="1" applyBorder="1" applyAlignment="1" applyProtection="1">
      <alignment horizontal="center"/>
      <protection hidden="1"/>
    </xf>
    <xf numFmtId="0" fontId="31" fillId="11" borderId="1" xfId="0" applyFont="1" applyFill="1" applyBorder="1" applyAlignment="1">
      <alignment horizontal="center" vertical="center"/>
    </xf>
    <xf numFmtId="0" fontId="38" fillId="14" borderId="2" xfId="0" applyFont="1" applyFill="1" applyBorder="1" applyAlignment="1">
      <alignment horizontal="center" vertical="center"/>
    </xf>
    <xf numFmtId="0" fontId="38" fillId="14" borderId="3" xfId="0" applyFont="1" applyFill="1" applyBorder="1" applyAlignment="1">
      <alignment horizontal="center" vertical="center"/>
    </xf>
    <xf numFmtId="0" fontId="43" fillId="0" borderId="1" xfId="0" applyFont="1" applyBorder="1" applyAlignment="1" applyProtection="1">
      <alignment horizontal="center"/>
      <protection hidden="1"/>
    </xf>
    <xf numFmtId="0" fontId="43" fillId="0" borderId="2" xfId="0" applyFont="1" applyBorder="1" applyAlignment="1" applyProtection="1">
      <alignment horizontal="left"/>
      <protection hidden="1"/>
    </xf>
    <xf numFmtId="0" fontId="43" fillId="0" borderId="3" xfId="0" applyFont="1" applyBorder="1" applyAlignment="1" applyProtection="1">
      <alignment horizontal="left"/>
      <protection hidden="1"/>
    </xf>
    <xf numFmtId="0" fontId="43" fillId="0" borderId="4" xfId="0" applyFont="1" applyBorder="1" applyAlignment="1" applyProtection="1">
      <alignment horizontal="left"/>
      <protection hidden="1"/>
    </xf>
    <xf numFmtId="0" fontId="42" fillId="7" borderId="8" xfId="0" applyFont="1" applyFill="1" applyBorder="1" applyAlignment="1">
      <alignment horizontal="left" vertical="center"/>
    </xf>
    <xf numFmtId="0" fontId="42" fillId="7" borderId="12" xfId="0" applyFont="1" applyFill="1" applyBorder="1" applyAlignment="1">
      <alignment horizontal="left" vertical="center"/>
    </xf>
    <xf numFmtId="0" fontId="51" fillId="0" borderId="2" xfId="0" applyFont="1" applyBorder="1" applyAlignment="1" applyProtection="1">
      <alignment horizontal="center" vertical="center"/>
      <protection locked="0"/>
    </xf>
    <xf numFmtId="0" fontId="51" fillId="0" borderId="3" xfId="0" applyFont="1" applyBorder="1" applyAlignment="1" applyProtection="1">
      <alignment horizontal="center" vertical="center"/>
      <protection locked="0"/>
    </xf>
    <xf numFmtId="0" fontId="51" fillId="0" borderId="4" xfId="0" applyFont="1" applyBorder="1" applyAlignment="1" applyProtection="1">
      <alignment horizontal="center" vertical="center"/>
      <protection locked="0"/>
    </xf>
    <xf numFmtId="0" fontId="37" fillId="14" borderId="2" xfId="0" applyFont="1" applyFill="1" applyBorder="1" applyAlignment="1">
      <alignment horizontal="center" vertical="center"/>
    </xf>
    <xf numFmtId="0" fontId="37" fillId="14" borderId="4" xfId="0" applyFont="1" applyFill="1" applyBorder="1" applyAlignment="1">
      <alignment horizontal="center" vertical="center"/>
    </xf>
    <xf numFmtId="0" fontId="41" fillId="0" borderId="0" xfId="0" applyFont="1" applyAlignment="1">
      <alignment horizontal="left" vertical="top"/>
    </xf>
    <xf numFmtId="0" fontId="36" fillId="9" borderId="0" xfId="0" applyFont="1" applyFill="1" applyAlignment="1">
      <alignment horizontal="left" vertical="top"/>
    </xf>
    <xf numFmtId="0" fontId="38" fillId="14" borderId="0" xfId="0" applyFont="1" applyFill="1" applyAlignment="1">
      <alignment horizontal="center" vertical="top"/>
    </xf>
    <xf numFmtId="0" fontId="7" fillId="0" borderId="16" xfId="0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51" fillId="0" borderId="1" xfId="0" applyFont="1" applyBorder="1" applyAlignment="1" applyProtection="1">
      <alignment horizontal="center" vertical="center"/>
      <protection locked="0"/>
    </xf>
    <xf numFmtId="49" fontId="7" fillId="5" borderId="13" xfId="0" applyNumberFormat="1" applyFont="1" applyFill="1" applyBorder="1" applyAlignment="1" applyProtection="1">
      <alignment horizontal="center" vertical="center"/>
      <protection locked="0"/>
    </xf>
    <xf numFmtId="0" fontId="43" fillId="0" borderId="2" xfId="0" applyFont="1" applyBorder="1" applyAlignment="1" applyProtection="1">
      <alignment horizontal="left"/>
      <protection locked="0" hidden="1"/>
    </xf>
    <xf numFmtId="0" fontId="43" fillId="0" borderId="3" xfId="0" applyFont="1" applyBorder="1" applyAlignment="1" applyProtection="1">
      <alignment horizontal="left"/>
      <protection locked="0" hidden="1"/>
    </xf>
    <xf numFmtId="0" fontId="43" fillId="0" borderId="4" xfId="0" applyFont="1" applyBorder="1" applyAlignment="1" applyProtection="1">
      <alignment horizontal="left"/>
      <protection locked="0" hidden="1"/>
    </xf>
    <xf numFmtId="0" fontId="31" fillId="11" borderId="16" xfId="0" applyFont="1" applyFill="1" applyBorder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174" fontId="51" fillId="0" borderId="1" xfId="0" applyNumberFormat="1" applyFont="1" applyBorder="1" applyAlignment="1" applyProtection="1">
      <alignment horizontal="center" vertical="center"/>
      <protection locked="0"/>
    </xf>
    <xf numFmtId="0" fontId="43" fillId="0" borderId="1" xfId="0" applyFont="1" applyBorder="1" applyAlignment="1" applyProtection="1">
      <alignment horizontal="center"/>
      <protection locked="0" hidden="1"/>
    </xf>
    <xf numFmtId="0" fontId="43" fillId="0" borderId="1" xfId="0" applyFont="1" applyBorder="1" applyAlignment="1" applyProtection="1">
      <alignment horizontal="left"/>
      <protection locked="0" hidden="1"/>
    </xf>
    <xf numFmtId="0" fontId="43" fillId="0" borderId="1" xfId="0" applyFont="1" applyBorder="1" applyAlignment="1" applyProtection="1">
      <alignment horizontal="left"/>
      <protection hidden="1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14" fontId="51" fillId="0" borderId="1" xfId="0" applyNumberFormat="1" applyFont="1" applyBorder="1" applyAlignment="1" applyProtection="1">
      <alignment horizontal="center" vertical="center"/>
      <protection locked="0"/>
    </xf>
    <xf numFmtId="0" fontId="33" fillId="13" borderId="4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49" fillId="13" borderId="2" xfId="0" applyFont="1" applyFill="1" applyBorder="1" applyAlignment="1">
      <alignment horizontal="center"/>
    </xf>
    <xf numFmtId="0" fontId="49" fillId="13" borderId="3" xfId="0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38" fillId="13" borderId="29" xfId="0" applyFont="1" applyFill="1" applyBorder="1" applyAlignment="1">
      <alignment horizontal="center" vertical="center" wrapText="1"/>
    </xf>
    <xf numFmtId="0" fontId="38" fillId="13" borderId="31" xfId="0" applyFont="1" applyFill="1" applyBorder="1" applyAlignment="1">
      <alignment horizontal="center" vertical="center" wrapText="1"/>
    </xf>
    <xf numFmtId="0" fontId="19" fillId="0" borderId="30" xfId="0" applyFont="1" applyBorder="1" applyAlignment="1" applyProtection="1">
      <alignment horizontal="center" vertical="center" readingOrder="1"/>
      <protection locked="0"/>
    </xf>
    <xf numFmtId="0" fontId="19" fillId="0" borderId="41" xfId="0" applyFont="1" applyBorder="1" applyAlignment="1" applyProtection="1">
      <alignment horizontal="center" vertical="center" readingOrder="1"/>
      <protection locked="0"/>
    </xf>
    <xf numFmtId="0" fontId="15" fillId="0" borderId="1" xfId="0" applyFont="1" applyBorder="1" applyAlignment="1" applyProtection="1">
      <alignment horizontal="left" vertical="center" readingOrder="1"/>
      <protection hidden="1"/>
    </xf>
    <xf numFmtId="175" fontId="51" fillId="0" borderId="4" xfId="0" applyNumberFormat="1" applyFont="1" applyBorder="1" applyAlignment="1" applyProtection="1">
      <alignment horizontal="center" vertical="center"/>
      <protection locked="0"/>
    </xf>
    <xf numFmtId="175" fontId="51" fillId="0" borderId="1" xfId="0" applyNumberFormat="1" applyFont="1" applyBorder="1" applyAlignment="1" applyProtection="1">
      <alignment horizontal="center" vertical="center"/>
      <protection locked="0"/>
    </xf>
    <xf numFmtId="175" fontId="51" fillId="0" borderId="28" xfId="0" applyNumberFormat="1" applyFont="1" applyBorder="1" applyAlignment="1" applyProtection="1">
      <alignment horizontal="center" vertical="center"/>
      <protection locked="0"/>
    </xf>
    <xf numFmtId="175" fontId="51" fillId="0" borderId="37" xfId="0" applyNumberFormat="1" applyFont="1" applyBorder="1" applyAlignment="1" applyProtection="1">
      <alignment horizontal="center" vertical="center"/>
      <protection locked="0"/>
    </xf>
    <xf numFmtId="175" fontId="51" fillId="0" borderId="23" xfId="0" applyNumberFormat="1" applyFont="1" applyBorder="1" applyAlignment="1" applyProtection="1">
      <alignment horizontal="center" vertical="center"/>
      <protection locked="0"/>
    </xf>
    <xf numFmtId="175" fontId="51" fillId="0" borderId="33" xfId="0" applyNumberFormat="1" applyFont="1" applyBorder="1" applyAlignment="1" applyProtection="1">
      <alignment horizontal="center" vertical="center"/>
      <protection locked="0"/>
    </xf>
    <xf numFmtId="0" fontId="38" fillId="13" borderId="22" xfId="0" applyFont="1" applyFill="1" applyBorder="1" applyAlignment="1">
      <alignment horizontal="center" vertical="center" wrapText="1"/>
    </xf>
    <xf numFmtId="0" fontId="38" fillId="13" borderId="49" xfId="0" applyFont="1" applyFill="1" applyBorder="1" applyAlignment="1">
      <alignment horizontal="center" vertical="center" wrapText="1"/>
    </xf>
    <xf numFmtId="175" fontId="51" fillId="0" borderId="26" xfId="0" applyNumberFormat="1" applyFont="1" applyBorder="1" applyAlignment="1" applyProtection="1">
      <alignment horizontal="center" vertical="center"/>
      <protection locked="0"/>
    </xf>
    <xf numFmtId="175" fontId="51" fillId="0" borderId="20" xfId="0" applyNumberFormat="1" applyFont="1" applyBorder="1" applyAlignment="1" applyProtection="1">
      <alignment horizontal="center" vertical="center"/>
      <protection locked="0"/>
    </xf>
    <xf numFmtId="175" fontId="51" fillId="0" borderId="27" xfId="0" applyNumberFormat="1" applyFont="1" applyBorder="1" applyAlignment="1" applyProtection="1">
      <alignment horizontal="center" vertical="center"/>
      <protection locked="0"/>
    </xf>
    <xf numFmtId="0" fontId="38" fillId="13" borderId="35" xfId="0" applyFont="1" applyFill="1" applyBorder="1" applyAlignment="1">
      <alignment horizontal="center" vertical="center" wrapText="1"/>
    </xf>
    <xf numFmtId="0" fontId="38" fillId="13" borderId="4" xfId="0" applyFont="1" applyFill="1" applyBorder="1" applyAlignment="1">
      <alignment horizontal="center" vertical="center" wrapText="1"/>
    </xf>
    <xf numFmtId="0" fontId="38" fillId="13" borderId="36" xfId="0" applyFont="1" applyFill="1" applyBorder="1" applyAlignment="1">
      <alignment horizontal="center" vertical="center" wrapText="1"/>
    </xf>
    <xf numFmtId="0" fontId="38" fillId="13" borderId="37" xfId="0" applyFont="1" applyFill="1" applyBorder="1" applyAlignment="1">
      <alignment horizontal="center" vertical="center" wrapText="1"/>
    </xf>
    <xf numFmtId="174" fontId="51" fillId="0" borderId="37" xfId="0" applyNumberFormat="1" applyFont="1" applyBorder="1" applyAlignment="1" applyProtection="1">
      <alignment horizontal="center" vertical="center"/>
      <protection locked="0"/>
    </xf>
    <xf numFmtId="174" fontId="51" fillId="0" borderId="23" xfId="0" applyNumberFormat="1" applyFont="1" applyBorder="1" applyAlignment="1" applyProtection="1">
      <alignment horizontal="center" vertical="center"/>
      <protection locked="0"/>
    </xf>
    <xf numFmtId="174" fontId="51" fillId="0" borderId="33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readingOrder="1"/>
      <protection locked="0"/>
    </xf>
    <xf numFmtId="0" fontId="43" fillId="0" borderId="28" xfId="0" applyFont="1" applyBorder="1" applyAlignment="1" applyProtection="1">
      <alignment horizontal="center"/>
      <protection hidden="1"/>
    </xf>
    <xf numFmtId="0" fontId="38" fillId="13" borderId="35" xfId="0" applyFont="1" applyFill="1" applyBorder="1" applyAlignment="1">
      <alignment horizontal="center" vertical="center"/>
    </xf>
    <xf numFmtId="0" fontId="38" fillId="13" borderId="4" xfId="0" applyFont="1" applyFill="1" applyBorder="1" applyAlignment="1">
      <alignment horizontal="center" vertical="center"/>
    </xf>
    <xf numFmtId="174" fontId="51" fillId="0" borderId="4" xfId="0" applyNumberFormat="1" applyFont="1" applyBorder="1" applyAlignment="1" applyProtection="1">
      <alignment horizontal="center" vertical="center"/>
      <protection locked="0"/>
    </xf>
    <xf numFmtId="174" fontId="51" fillId="0" borderId="28" xfId="0" applyNumberFormat="1" applyFont="1" applyBorder="1" applyAlignment="1" applyProtection="1">
      <alignment horizontal="center" vertical="center"/>
      <protection locked="0"/>
    </xf>
    <xf numFmtId="175" fontId="15" fillId="9" borderId="11" xfId="1" applyNumberFormat="1" applyFont="1" applyFill="1" applyBorder="1" applyAlignment="1">
      <alignment horizontal="center" vertical="center" readingOrder="1"/>
    </xf>
    <xf numFmtId="175" fontId="15" fillId="9" borderId="38" xfId="1" applyNumberFormat="1" applyFont="1" applyFill="1" applyBorder="1" applyAlignment="1">
      <alignment horizontal="center" vertical="center" readingOrder="1"/>
    </xf>
    <xf numFmtId="175" fontId="15" fillId="9" borderId="24" xfId="1" applyNumberFormat="1" applyFont="1" applyFill="1" applyBorder="1" applyAlignment="1">
      <alignment horizontal="center" vertical="center" readingOrder="1"/>
    </xf>
    <xf numFmtId="175" fontId="15" fillId="9" borderId="25" xfId="1" applyNumberFormat="1" applyFont="1" applyFill="1" applyBorder="1" applyAlignment="1">
      <alignment horizontal="center" vertical="center" readingOrder="1"/>
    </xf>
    <xf numFmtId="0" fontId="44" fillId="7" borderId="5" xfId="0" applyFont="1" applyFill="1" applyBorder="1" applyAlignment="1">
      <alignment horizontal="center" vertical="center" wrapText="1"/>
    </xf>
    <xf numFmtId="0" fontId="44" fillId="7" borderId="15" xfId="0" applyFont="1" applyFill="1" applyBorder="1" applyAlignment="1">
      <alignment horizontal="center" vertical="center" wrapText="1"/>
    </xf>
    <xf numFmtId="0" fontId="44" fillId="7" borderId="9" xfId="0" applyFont="1" applyFill="1" applyBorder="1" applyAlignment="1">
      <alignment horizontal="center" vertical="center" wrapText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9" xfId="0" applyFont="1" applyBorder="1" applyAlignment="1" applyProtection="1">
      <alignment horizontal="center" vertical="center"/>
      <protection locked="0"/>
    </xf>
    <xf numFmtId="0" fontId="38" fillId="13" borderId="48" xfId="0" applyFont="1" applyFill="1" applyBorder="1" applyAlignment="1">
      <alignment horizontal="center" vertical="center" wrapText="1"/>
    </xf>
    <xf numFmtId="174" fontId="51" fillId="0" borderId="9" xfId="0" applyNumberFormat="1" applyFont="1" applyBorder="1" applyAlignment="1" applyProtection="1">
      <alignment horizontal="center" vertical="center"/>
      <protection locked="0"/>
    </xf>
    <xf numFmtId="174" fontId="51" fillId="0" borderId="50" xfId="0" applyNumberFormat="1" applyFont="1" applyBorder="1" applyAlignment="1" applyProtection="1">
      <alignment horizontal="center" vertical="center"/>
      <protection locked="0"/>
    </xf>
    <xf numFmtId="0" fontId="38" fillId="13" borderId="34" xfId="0" applyFont="1" applyFill="1" applyBorder="1" applyAlignment="1">
      <alignment horizontal="center" vertical="center"/>
    </xf>
    <xf numFmtId="0" fontId="38" fillId="13" borderId="12" xfId="0" applyFont="1" applyFill="1" applyBorder="1" applyAlignment="1">
      <alignment horizontal="center" vertical="center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43" fillId="0" borderId="28" xfId="0" applyFont="1" applyBorder="1" applyAlignment="1" applyProtection="1">
      <alignment horizontal="center" vertical="center"/>
      <protection locked="0" hidden="1"/>
    </xf>
    <xf numFmtId="0" fontId="43" fillId="0" borderId="28" xfId="0" applyFont="1" applyBorder="1" applyAlignment="1" applyProtection="1">
      <alignment horizontal="center"/>
      <protection locked="0" hidden="1"/>
    </xf>
    <xf numFmtId="0" fontId="38" fillId="13" borderId="3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 wrapText="1"/>
    </xf>
    <xf numFmtId="0" fontId="43" fillId="0" borderId="9" xfId="0" applyFont="1" applyBorder="1" applyAlignment="1" applyProtection="1">
      <alignment horizontal="center"/>
      <protection locked="0" hidden="1"/>
    </xf>
    <xf numFmtId="0" fontId="43" fillId="0" borderId="50" xfId="0" applyFont="1" applyBorder="1" applyAlignment="1" applyProtection="1">
      <alignment horizontal="center"/>
      <protection locked="0" hidden="1"/>
    </xf>
    <xf numFmtId="14" fontId="52" fillId="0" borderId="1" xfId="0" applyNumberFormat="1" applyFont="1" applyBorder="1" applyAlignment="1" applyProtection="1">
      <alignment horizontal="center" vertical="center"/>
      <protection locked="0"/>
    </xf>
    <xf numFmtId="14" fontId="52" fillId="0" borderId="28" xfId="0" applyNumberFormat="1" applyFont="1" applyBorder="1" applyAlignment="1" applyProtection="1">
      <alignment horizontal="center" vertical="center"/>
      <protection locked="0"/>
    </xf>
    <xf numFmtId="0" fontId="38" fillId="13" borderId="62" xfId="0" applyFont="1" applyFill="1" applyBorder="1" applyAlignment="1">
      <alignment horizontal="center" vertical="center"/>
    </xf>
    <xf numFmtId="0" fontId="38" fillId="13" borderId="60" xfId="0" applyFont="1" applyFill="1" applyBorder="1" applyAlignment="1">
      <alignment horizontal="center" vertical="center"/>
    </xf>
    <xf numFmtId="0" fontId="38" fillId="13" borderId="61" xfId="0" applyFont="1" applyFill="1" applyBorder="1" applyAlignment="1">
      <alignment horizontal="center" vertical="center"/>
    </xf>
    <xf numFmtId="0" fontId="38" fillId="13" borderId="40" xfId="0" applyFont="1" applyFill="1" applyBorder="1" applyAlignment="1">
      <alignment horizontal="center" vertical="center" wrapText="1"/>
    </xf>
    <xf numFmtId="0" fontId="38" fillId="13" borderId="64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 readingOrder="1"/>
    </xf>
    <xf numFmtId="0" fontId="15" fillId="0" borderId="4" xfId="0" applyFont="1" applyBorder="1" applyAlignment="1">
      <alignment horizontal="center" vertical="center" wrapText="1" readingOrder="1"/>
    </xf>
    <xf numFmtId="0" fontId="38" fillId="13" borderId="51" xfId="0" applyFont="1" applyFill="1" applyBorder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56" fillId="0" borderId="6" xfId="10" applyBorder="1" applyAlignment="1" applyProtection="1">
      <alignment horizontal="center" vertical="center"/>
      <protection locked="0"/>
    </xf>
  </cellXfs>
  <cellStyles count="11">
    <cellStyle name="Comma" xfId="8" builtinId="3"/>
    <cellStyle name="Currency" xfId="3" builtinId="4"/>
    <cellStyle name="Hyperlink" xfId="10" builtinId="8"/>
    <cellStyle name="Normal" xfId="0" builtinId="0"/>
    <cellStyle name="Normal 14" xfId="7" xr:uid="{00000000-0005-0000-0000-000000000000}"/>
    <cellStyle name="Normal 5" xfId="6" xr:uid="{00000000-0005-0000-0000-000001000000}"/>
    <cellStyle name="Normal 9" xfId="9" xr:uid="{B43D795B-AE1D-4A15-87BA-E9CBD4537BED}"/>
    <cellStyle name="Per cent" xfId="4" builtinId="5"/>
    <cellStyle name="Standard 2" xfId="1" xr:uid="{00000000-0005-0000-0000-000004000000}"/>
    <cellStyle name="Standard 2 3" xfId="5" xr:uid="{00000000-0005-0000-0000-000005000000}"/>
    <cellStyle name="Standard 3" xfId="2" xr:uid="{00000000-0005-0000-0000-000006000000}"/>
  </cellStyles>
  <dxfs count="30"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D70000"/>
        </patternFill>
      </fill>
    </dxf>
    <dxf>
      <fill>
        <patternFill>
          <bgColor rgb="FF95C11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</dxfs>
  <tableStyles count="0" defaultTableStyle="TableStyleMedium2" defaultPivotStyle="PivotStyleLight16"/>
  <colors>
    <mruColors>
      <color rgb="FF55C3F0"/>
      <color rgb="FF555FF0"/>
      <color rgb="FFD70000"/>
      <color rgb="FF95C11F"/>
      <color rgb="FFFFFFFF"/>
      <color rgb="FFFFFF99"/>
      <color rgb="FF00005F"/>
      <color rgb="FFFFF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fmlaLink="$F$90" lockText="1" noThreeD="1"/>
</file>

<file path=xl/ctrlProps/ctrlProp3.xml><?xml version="1.0" encoding="utf-8"?>
<formControlPr xmlns="http://schemas.microsoft.com/office/spreadsheetml/2009/9/main" objectType="CheckBox" fmlaLink="$F$91" lockText="1" noThreeD="1"/>
</file>

<file path=xl/ctrlProps/ctrlProp4.xml><?xml version="1.0" encoding="utf-8"?>
<formControlPr xmlns="http://schemas.microsoft.com/office/spreadsheetml/2009/9/main" objectType="CheckBox" fmlaLink="$F$92" lockText="1" noThreeD="1"/>
</file>

<file path=xl/ctrlProps/ctrlProp5.xml><?xml version="1.0" encoding="utf-8"?>
<formControlPr xmlns="http://schemas.microsoft.com/office/spreadsheetml/2009/9/main" objectType="CheckBox" fmlaLink="$F$93" lockText="1" noThreeD="1"/>
</file>

<file path=xl/ctrlProps/ctrlProp6.xml><?xml version="1.0" encoding="utf-8"?>
<formControlPr xmlns="http://schemas.microsoft.com/office/spreadsheetml/2009/9/main" objectType="CheckBox" fmlaLink="$F$94" lockText="1" noThreeD="1"/>
</file>

<file path=xl/ctrlProps/ctrlProp7.xml><?xml version="1.0" encoding="utf-8"?>
<formControlPr xmlns="http://schemas.microsoft.com/office/spreadsheetml/2009/9/main" objectType="CheckBox" fmlaLink="$F$95" lockText="1" noThreeD="1"/>
</file>

<file path=xl/ctrlProps/ctrlProp8.xml><?xml version="1.0" encoding="utf-8"?>
<formControlPr xmlns="http://schemas.microsoft.com/office/spreadsheetml/2009/9/main" objectType="CheckBox" fmlaLink="$F$96" lockText="1" noThreeD="1"/>
</file>

<file path=xl/ctrlProps/ctrlProp9.xml><?xml version="1.0" encoding="utf-8"?>
<formControlPr xmlns="http://schemas.microsoft.com/office/spreadsheetml/2009/9/main" objectType="CheckBox" fmlaLink="$F$97" lockText="1" noThreeD="1"/>
</file>

<file path=xl/ctrlProps/ctrlProp10.xml><?xml version="1.0" encoding="utf-8"?>
<formControlPr xmlns="http://schemas.microsoft.com/office/spreadsheetml/2009/9/main" objectType="CheckBox" fmlaLink="$F$98" lockText="1" noThreeD="1"/>
</file>

<file path=xl/ctrlProps/ctrlProp11.xml><?xml version="1.0" encoding="utf-8"?>
<formControlPr xmlns="http://schemas.microsoft.com/office/spreadsheetml/2009/9/main" objectType="CheckBox" fmlaLink="$F$89" lockText="1" noThreeD="1"/>
</file>

<file path=xl/ctrlProps/ctrlProp12.xml><?xml version="1.0" encoding="utf-8"?>
<formControlPr xmlns="http://schemas.microsoft.com/office/spreadsheetml/2009/9/main" objectType="CheckBox" fmlaLink="$F$88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330200</xdr:colOff>
          <xdr:row>13</xdr:row>
          <xdr:rowOff>76200</xdr:rowOff>
        </xdr:from>
        <xdr:to>
          <xdr:col>12</xdr:col>
          <xdr:colOff>533400</xdr:colOff>
          <xdr:row>14</xdr:row>
          <xdr:rowOff>127000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15</xdr:row>
          <xdr:rowOff>38100</xdr:rowOff>
        </xdr:from>
        <xdr:to>
          <xdr:col>12</xdr:col>
          <xdr:colOff>533400</xdr:colOff>
          <xdr:row>16</xdr:row>
          <xdr:rowOff>177800</xdr:rowOff>
        </xdr:to>
        <xdr:sp macro="" textlink="">
          <xdr:nvSpPr>
            <xdr:cNvPr id="1046" name="CheckBox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17</xdr:row>
          <xdr:rowOff>38100</xdr:rowOff>
        </xdr:from>
        <xdr:to>
          <xdr:col>12</xdr:col>
          <xdr:colOff>508000</xdr:colOff>
          <xdr:row>18</xdr:row>
          <xdr:rowOff>152400</xdr:rowOff>
        </xdr:to>
        <xdr:sp macro="" textlink="">
          <xdr:nvSpPr>
            <xdr:cNvPr id="1047" name="CheckBox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355600</xdr:colOff>
          <xdr:row>19</xdr:row>
          <xdr:rowOff>38100</xdr:rowOff>
        </xdr:from>
        <xdr:to>
          <xdr:col>12</xdr:col>
          <xdr:colOff>469900</xdr:colOff>
          <xdr:row>21</xdr:row>
          <xdr:rowOff>0</xdr:rowOff>
        </xdr:to>
        <xdr:sp macro="" textlink="">
          <xdr:nvSpPr>
            <xdr:cNvPr id="1056" name="CheckBox5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510489</xdr:colOff>
      <xdr:row>1</xdr:row>
      <xdr:rowOff>63500</xdr:rowOff>
    </xdr:from>
    <xdr:to>
      <xdr:col>14</xdr:col>
      <xdr:colOff>684180</xdr:colOff>
      <xdr:row>10</xdr:row>
      <xdr:rowOff>221004</xdr:rowOff>
    </xdr:to>
    <xdr:sp macro="" textlink="">
      <xdr:nvSpPr>
        <xdr:cNvPr id="6" name="Abgerundetes Rechtec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580656" y="328083"/>
          <a:ext cx="6481357" cy="1988421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  <xdr:twoCellAnchor editAs="oneCell">
    <xdr:from>
      <xdr:col>0</xdr:col>
      <xdr:colOff>268942</xdr:colOff>
      <xdr:row>0</xdr:row>
      <xdr:rowOff>67235</xdr:rowOff>
    </xdr:from>
    <xdr:to>
      <xdr:col>0</xdr:col>
      <xdr:colOff>982414</xdr:colOff>
      <xdr:row>2</xdr:row>
      <xdr:rowOff>112013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67235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571497</xdr:colOff>
      <xdr:row>0</xdr:row>
      <xdr:rowOff>101006</xdr:rowOff>
    </xdr:from>
    <xdr:to>
      <xdr:col>4</xdr:col>
      <xdr:colOff>1129378</xdr:colOff>
      <xdr:row>1</xdr:row>
      <xdr:rowOff>339359</xdr:rowOff>
    </xdr:to>
    <xdr:sp macro="" textlink="">
      <xdr:nvSpPr>
        <xdr:cNvPr id="12" name="Abgerundetes Rechteck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4985">
          <a:off x="7519144" y="101006"/>
          <a:ext cx="1824146" cy="428853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3</xdr:col>
      <xdr:colOff>694765</xdr:colOff>
      <xdr:row>0</xdr:row>
      <xdr:rowOff>159832</xdr:rowOff>
    </xdr:from>
    <xdr:to>
      <xdr:col>3</xdr:col>
      <xdr:colOff>1316659</xdr:colOff>
      <xdr:row>1</xdr:row>
      <xdr:rowOff>281815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2412" y="159832"/>
          <a:ext cx="619093" cy="312483"/>
        </a:xfrm>
        <a:prstGeom prst="rect">
          <a:avLst/>
        </a:prstGeom>
      </xdr:spPr>
    </xdr:pic>
    <xdr:clientData/>
  </xdr:twoCellAnchor>
  <xdr:twoCellAnchor editAs="oneCell">
    <xdr:from>
      <xdr:col>4</xdr:col>
      <xdr:colOff>201707</xdr:colOff>
      <xdr:row>0</xdr:row>
      <xdr:rowOff>144543</xdr:rowOff>
    </xdr:from>
    <xdr:to>
      <xdr:col>4</xdr:col>
      <xdr:colOff>874059</xdr:colOff>
      <xdr:row>1</xdr:row>
      <xdr:rowOff>290220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5619" y="144543"/>
          <a:ext cx="672352" cy="3361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43</xdr:row>
          <xdr:rowOff>165100</xdr:rowOff>
        </xdr:from>
        <xdr:to>
          <xdr:col>3</xdr:col>
          <xdr:colOff>279400</xdr:colOff>
          <xdr:row>45</xdr:row>
          <xdr:rowOff>25400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1086970</xdr:colOff>
      <xdr:row>1</xdr:row>
      <xdr:rowOff>361952</xdr:rowOff>
    </xdr:from>
    <xdr:to>
      <xdr:col>15</xdr:col>
      <xdr:colOff>246529</xdr:colOff>
      <xdr:row>9</xdr:row>
      <xdr:rowOff>11207</xdr:rowOff>
    </xdr:to>
    <xdr:sp macro="" textlink="">
      <xdr:nvSpPr>
        <xdr:cNvPr id="8" name="Abgerundetes Rechtec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404911" y="552452"/>
          <a:ext cx="5838265" cy="1453402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  <xdr:twoCellAnchor editAs="oneCell">
    <xdr:from>
      <xdr:col>0</xdr:col>
      <xdr:colOff>167528</xdr:colOff>
      <xdr:row>0</xdr:row>
      <xdr:rowOff>65555</xdr:rowOff>
    </xdr:from>
    <xdr:to>
      <xdr:col>0</xdr:col>
      <xdr:colOff>884175</xdr:colOff>
      <xdr:row>1</xdr:row>
      <xdr:rowOff>379274</xdr:rowOff>
    </xdr:to>
    <xdr:pic>
      <xdr:nvPicPr>
        <xdr:cNvPr id="13" name="Picture 6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528" y="65555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686111</xdr:colOff>
      <xdr:row>0</xdr:row>
      <xdr:rowOff>48115</xdr:rowOff>
    </xdr:from>
    <xdr:to>
      <xdr:col>4</xdr:col>
      <xdr:colOff>676570</xdr:colOff>
      <xdr:row>1</xdr:row>
      <xdr:rowOff>286468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4985">
          <a:off x="7115486" y="48115"/>
          <a:ext cx="990584" cy="428853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3</xdr:col>
      <xdr:colOff>801158</xdr:colOff>
      <xdr:row>0</xdr:row>
      <xdr:rowOff>96308</xdr:rowOff>
    </xdr:from>
    <xdr:to>
      <xdr:col>4</xdr:col>
      <xdr:colOff>201084</xdr:colOff>
      <xdr:row>1</xdr:row>
      <xdr:rowOff>239183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408" y="96308"/>
          <a:ext cx="669925" cy="333375"/>
        </a:xfrm>
        <a:prstGeom prst="rect">
          <a:avLst/>
        </a:prstGeom>
      </xdr:spPr>
    </xdr:pic>
    <xdr:clientData/>
  </xdr:twoCellAnchor>
  <xdr:twoCellAnchor>
    <xdr:from>
      <xdr:col>5</xdr:col>
      <xdr:colOff>603250</xdr:colOff>
      <xdr:row>2</xdr:row>
      <xdr:rowOff>52916</xdr:rowOff>
    </xdr:from>
    <xdr:to>
      <xdr:col>7</xdr:col>
      <xdr:colOff>476250</xdr:colOff>
      <xdr:row>9</xdr:row>
      <xdr:rowOff>19920</xdr:rowOff>
    </xdr:to>
    <xdr:sp macro="" textlink="">
      <xdr:nvSpPr>
        <xdr:cNvPr id="6" name="Abgerundetes Rechtec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048750" y="550333"/>
          <a:ext cx="5725583" cy="1501587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  <xdr:twoCellAnchor editAs="oneCell">
    <xdr:from>
      <xdr:col>0</xdr:col>
      <xdr:colOff>196850</xdr:colOff>
      <xdr:row>0</xdr:row>
      <xdr:rowOff>63500</xdr:rowOff>
    </xdr:from>
    <xdr:to>
      <xdr:col>0</xdr:col>
      <xdr:colOff>913497</xdr:colOff>
      <xdr:row>1</xdr:row>
      <xdr:rowOff>377219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50" y="63500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0</xdr:rowOff>
    </xdr:from>
    <xdr:to>
      <xdr:col>6</xdr:col>
      <xdr:colOff>1260459</xdr:colOff>
      <xdr:row>16</xdr:row>
      <xdr:rowOff>36647</xdr:rowOff>
    </xdr:to>
    <xdr:sp macro="" textlink="">
      <xdr:nvSpPr>
        <xdr:cNvPr id="5" name="Abgerundetes Rechteck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4985">
          <a:off x="10130118" y="2465294"/>
          <a:ext cx="1260459" cy="428853"/>
        </a:xfrm>
        <a:prstGeom prst="roundRect">
          <a:avLst/>
        </a:prstGeom>
        <a:solidFill>
          <a:schemeClr val="bg1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>
    <xdr:from>
      <xdr:col>3</xdr:col>
      <xdr:colOff>746313</xdr:colOff>
      <xdr:row>0</xdr:row>
      <xdr:rowOff>59384</xdr:rowOff>
    </xdr:from>
    <xdr:to>
      <xdr:col>4</xdr:col>
      <xdr:colOff>740507</xdr:colOff>
      <xdr:row>1</xdr:row>
      <xdr:rowOff>230502</xdr:rowOff>
    </xdr:to>
    <xdr:sp macro="" textlink="">
      <xdr:nvSpPr>
        <xdr:cNvPr id="6" name="Abgerundetes Rechtec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4985">
          <a:off x="8265460" y="59384"/>
          <a:ext cx="1260459" cy="428853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3</xdr:col>
      <xdr:colOff>884519</xdr:colOff>
      <xdr:row>0</xdr:row>
      <xdr:rowOff>90269</xdr:rowOff>
    </xdr:from>
    <xdr:to>
      <xdr:col>4</xdr:col>
      <xdr:colOff>288179</xdr:colOff>
      <xdr:row>1</xdr:row>
      <xdr:rowOff>165909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8686" y="90269"/>
          <a:ext cx="673660" cy="329640"/>
        </a:xfrm>
        <a:prstGeom prst="rect">
          <a:avLst/>
        </a:prstGeom>
      </xdr:spPr>
    </xdr:pic>
    <xdr:clientData/>
  </xdr:twoCellAnchor>
  <xdr:twoCellAnchor editAs="oneCell">
    <xdr:from>
      <xdr:col>0</xdr:col>
      <xdr:colOff>201084</xdr:colOff>
      <xdr:row>0</xdr:row>
      <xdr:rowOff>105833</xdr:rowOff>
    </xdr:from>
    <xdr:to>
      <xdr:col>0</xdr:col>
      <xdr:colOff>917731</xdr:colOff>
      <xdr:row>1</xdr:row>
      <xdr:rowOff>356052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084" y="105833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281267</xdr:colOff>
      <xdr:row>1</xdr:row>
      <xdr:rowOff>361952</xdr:rowOff>
    </xdr:from>
    <xdr:to>
      <xdr:col>15</xdr:col>
      <xdr:colOff>145676</xdr:colOff>
      <xdr:row>9</xdr:row>
      <xdr:rowOff>11207</xdr:rowOff>
    </xdr:to>
    <xdr:sp macro="" textlink="">
      <xdr:nvSpPr>
        <xdr:cNvPr id="11" name="Abgerundetes Rechteck 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1610414" y="619687"/>
          <a:ext cx="6027644" cy="1374961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67</xdr:row>
          <xdr:rowOff>279400</xdr:rowOff>
        </xdr:from>
        <xdr:to>
          <xdr:col>3</xdr:col>
          <xdr:colOff>1536700</xdr:colOff>
          <xdr:row>67</xdr:row>
          <xdr:rowOff>584200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4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Pallet overhang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67</xdr:row>
          <xdr:rowOff>165100</xdr:rowOff>
        </xdr:from>
        <xdr:to>
          <xdr:col>3</xdr:col>
          <xdr:colOff>1536700</xdr:colOff>
          <xdr:row>67</xdr:row>
          <xdr:rowOff>381000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4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Interim storage necessary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67</xdr:row>
          <xdr:rowOff>63500</xdr:rowOff>
        </xdr:from>
        <xdr:to>
          <xdr:col>3</xdr:col>
          <xdr:colOff>1993900</xdr:colOff>
          <xdr:row>67</xdr:row>
          <xdr:rowOff>190500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4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Case dimensions, if provided loose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67</xdr:row>
          <xdr:rowOff>520700</xdr:rowOff>
        </xdr:from>
        <xdr:to>
          <xdr:col>3</xdr:col>
          <xdr:colOff>1993900</xdr:colOff>
          <xdr:row>67</xdr:row>
          <xdr:rowOff>711200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4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Different pallet factors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67</xdr:row>
          <xdr:rowOff>685800</xdr:rowOff>
        </xdr:from>
        <xdr:to>
          <xdr:col>3</xdr:col>
          <xdr:colOff>1993900</xdr:colOff>
          <xdr:row>67</xdr:row>
          <xdr:rowOff>901700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4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Deviating timeframe for delivery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330200</xdr:rowOff>
        </xdr:from>
        <xdr:to>
          <xdr:col>4</xdr:col>
          <xdr:colOff>2374900</xdr:colOff>
          <xdr:row>67</xdr:row>
          <xdr:rowOff>609600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4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Grey imports 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190500</xdr:rowOff>
        </xdr:from>
        <xdr:to>
          <xdr:col>4</xdr:col>
          <xdr:colOff>2374900</xdr:colOff>
          <xdr:row>67</xdr:row>
          <xdr:rowOff>381000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4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Several active pick-up locations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622300</xdr:rowOff>
        </xdr:from>
        <xdr:to>
          <xdr:col>4</xdr:col>
          <xdr:colOff>2374900</xdr:colOff>
          <xdr:row>67</xdr:row>
          <xdr:rowOff>1041400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4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Other information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38100</xdr:rowOff>
        </xdr:from>
        <xdr:to>
          <xdr:col>4</xdr:col>
          <xdr:colOff>2374900</xdr:colOff>
          <xdr:row>67</xdr:row>
          <xdr:rowOff>190500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4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Forward quotations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533400</xdr:rowOff>
        </xdr:from>
        <xdr:to>
          <xdr:col>4</xdr:col>
          <xdr:colOff>2374900</xdr:colOff>
          <xdr:row>67</xdr:row>
          <xdr:rowOff>762000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4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Delivery on PDP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406400</xdr:colOff>
          <xdr:row>67</xdr:row>
          <xdr:rowOff>38100</xdr:rowOff>
        </xdr:from>
        <xdr:to>
          <xdr:col>5</xdr:col>
          <xdr:colOff>2324100</xdr:colOff>
          <xdr:row>67</xdr:row>
          <xdr:rowOff>190500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4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Delivery on CHEP-pallets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701490</xdr:colOff>
      <xdr:row>0</xdr:row>
      <xdr:rowOff>137827</xdr:rowOff>
    </xdr:from>
    <xdr:to>
      <xdr:col>5</xdr:col>
      <xdr:colOff>3127360</xdr:colOff>
      <xdr:row>1</xdr:row>
      <xdr:rowOff>308945</xdr:rowOff>
    </xdr:to>
    <xdr:sp macro="" textlink="">
      <xdr:nvSpPr>
        <xdr:cNvPr id="13" name="Abgerundetes Rechteck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rot="4985">
          <a:off x="8870578" y="137827"/>
          <a:ext cx="2425870" cy="350412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0</xdr:col>
      <xdr:colOff>201084</xdr:colOff>
      <xdr:row>0</xdr:row>
      <xdr:rowOff>105833</xdr:rowOff>
    </xdr:from>
    <xdr:to>
      <xdr:col>1</xdr:col>
      <xdr:colOff>422431</xdr:colOff>
      <xdr:row>1</xdr:row>
      <xdr:rowOff>370059</xdr:rowOff>
    </xdr:to>
    <xdr:pic>
      <xdr:nvPicPr>
        <xdr:cNvPr id="15" name="Picture 6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084" y="105833"/>
          <a:ext cx="716647" cy="507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978032</xdr:colOff>
      <xdr:row>0</xdr:row>
      <xdr:rowOff>186929</xdr:rowOff>
    </xdr:from>
    <xdr:to>
      <xdr:col>5</xdr:col>
      <xdr:colOff>2812677</xdr:colOff>
      <xdr:row>1</xdr:row>
      <xdr:rowOff>258216</xdr:rowOff>
    </xdr:to>
    <xdr:pic>
      <xdr:nvPicPr>
        <xdr:cNvPr id="17" name="Picture 63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7120" y="186929"/>
          <a:ext cx="1834645" cy="30661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28</xdr:row>
      <xdr:rowOff>186495</xdr:rowOff>
    </xdr:from>
    <xdr:to>
      <xdr:col>10</xdr:col>
      <xdr:colOff>734786</xdr:colOff>
      <xdr:row>56</xdr:row>
      <xdr:rowOff>152666</xdr:rowOff>
    </xdr:to>
    <xdr:pic>
      <xdr:nvPicPr>
        <xdr:cNvPr id="28" name="Grafik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520495"/>
          <a:ext cx="8354785" cy="5300171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10</xdr:col>
      <xdr:colOff>598714</xdr:colOff>
      <xdr:row>28</xdr:row>
      <xdr:rowOff>114934</xdr:rowOff>
    </xdr:to>
    <xdr:pic>
      <xdr:nvPicPr>
        <xdr:cNvPr id="27" name="Grafik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8218713" cy="5452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169470</xdr:rowOff>
    </xdr:from>
    <xdr:to>
      <xdr:col>10</xdr:col>
      <xdr:colOff>744682</xdr:colOff>
      <xdr:row>74</xdr:row>
      <xdr:rowOff>104367</xdr:rowOff>
    </xdr:to>
    <xdr:pic>
      <xdr:nvPicPr>
        <xdr:cNvPr id="29" name="Grafik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646970"/>
          <a:ext cx="8364682" cy="3554397"/>
        </a:xfrm>
        <a:prstGeom prst="rect">
          <a:avLst/>
        </a:prstGeom>
      </xdr:spPr>
    </xdr:pic>
    <xdr:clientData/>
  </xdr:twoCellAnchor>
  <xdr:twoCellAnchor editAs="oneCell">
    <xdr:from>
      <xdr:col>12</xdr:col>
      <xdr:colOff>89065</xdr:colOff>
      <xdr:row>0</xdr:row>
      <xdr:rowOff>167001</xdr:rowOff>
    </xdr:from>
    <xdr:to>
      <xdr:col>22</xdr:col>
      <xdr:colOff>372194</xdr:colOff>
      <xdr:row>40</xdr:row>
      <xdr:rowOff>187098</xdr:rowOff>
    </xdr:to>
    <xdr:pic>
      <xdr:nvPicPr>
        <xdr:cNvPr id="30" name="Grafik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74974" y="167001"/>
          <a:ext cx="7903129" cy="7643499"/>
        </a:xfrm>
        <a:prstGeom prst="rect">
          <a:avLst/>
        </a:prstGeom>
      </xdr:spPr>
    </xdr:pic>
    <xdr:clientData/>
  </xdr:twoCellAnchor>
  <xdr:twoCellAnchor editAs="oneCell">
    <xdr:from>
      <xdr:col>12</xdr:col>
      <xdr:colOff>13608</xdr:colOff>
      <xdr:row>42</xdr:row>
      <xdr:rowOff>0</xdr:rowOff>
    </xdr:from>
    <xdr:to>
      <xdr:col>22</xdr:col>
      <xdr:colOff>424304</xdr:colOff>
      <xdr:row>81</xdr:row>
      <xdr:rowOff>105827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45287" y="8001000"/>
          <a:ext cx="8030696" cy="7535327"/>
        </a:xfrm>
        <a:prstGeom prst="rect">
          <a:avLst/>
        </a:prstGeom>
      </xdr:spPr>
    </xdr:pic>
    <xdr:clientData/>
  </xdr:twoCellAnchor>
  <xdr:twoCellAnchor editAs="oneCell">
    <xdr:from>
      <xdr:col>25</xdr:col>
      <xdr:colOff>27214</xdr:colOff>
      <xdr:row>0</xdr:row>
      <xdr:rowOff>81643</xdr:rowOff>
    </xdr:from>
    <xdr:to>
      <xdr:col>35</xdr:col>
      <xdr:colOff>752279</xdr:colOff>
      <xdr:row>46</xdr:row>
      <xdr:rowOff>130498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852571" y="81643"/>
          <a:ext cx="8345065" cy="8811855"/>
        </a:xfrm>
        <a:prstGeom prst="rect">
          <a:avLst/>
        </a:prstGeom>
      </xdr:spPr>
    </xdr:pic>
    <xdr:clientData/>
  </xdr:twoCellAnchor>
  <xdr:twoCellAnchor>
    <xdr:from>
      <xdr:col>13</xdr:col>
      <xdr:colOff>124810</xdr:colOff>
      <xdr:row>80</xdr:row>
      <xdr:rowOff>170794</xdr:rowOff>
    </xdr:from>
    <xdr:to>
      <xdr:col>14</xdr:col>
      <xdr:colOff>13138</xdr:colOff>
      <xdr:row>81</xdr:row>
      <xdr:rowOff>59121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9419896" y="15410794"/>
          <a:ext cx="650328" cy="7882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231321</xdr:colOff>
      <xdr:row>45</xdr:row>
      <xdr:rowOff>54429</xdr:rowOff>
    </xdr:from>
    <xdr:to>
      <xdr:col>35</xdr:col>
      <xdr:colOff>489596</xdr:colOff>
      <xdr:row>93</xdr:row>
      <xdr:rowOff>88320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20623892" y="9035143"/>
          <a:ext cx="8966847" cy="9613320"/>
          <a:chOff x="18056678" y="8626929"/>
          <a:chExt cx="7878275" cy="9177891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056679" y="8626929"/>
            <a:ext cx="7878274" cy="9021434"/>
          </a:xfrm>
          <a:prstGeom prst="rect">
            <a:avLst/>
          </a:prstGeom>
        </xdr:spPr>
      </xdr:pic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056678" y="17061962"/>
            <a:ext cx="6289525" cy="74285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ogistics@a2v.com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4"/>
  </sheetPr>
  <dimension ref="A1:O36"/>
  <sheetViews>
    <sheetView showGridLines="0" tabSelected="1" zoomScale="90" zoomScaleNormal="90" workbookViewId="0">
      <selection activeCell="B23" sqref="B23:E23"/>
    </sheetView>
  </sheetViews>
  <sheetFormatPr baseColWidth="10" defaultColWidth="11.5" defaultRowHeight="15"/>
  <cols>
    <col min="1" max="1" width="26.5" style="1" customWidth="1"/>
    <col min="2" max="2" width="20" style="1" customWidth="1"/>
    <col min="3" max="3" width="19.83203125" style="1" customWidth="1"/>
    <col min="4" max="4" width="17.5" style="1" bestFit="1" customWidth="1"/>
    <col min="5" max="5" width="12.83203125" style="1" customWidth="1"/>
    <col min="6" max="6" width="69.1640625" style="1" customWidth="1"/>
    <col min="8" max="8" width="15.6640625" customWidth="1"/>
    <col min="13" max="13" width="10.33203125" customWidth="1"/>
  </cols>
  <sheetData>
    <row r="1" spans="1:15" ht="21" customHeight="1">
      <c r="A1" s="171" t="s">
        <v>179</v>
      </c>
      <c r="B1" s="172"/>
      <c r="C1" s="172"/>
      <c r="D1" s="172"/>
      <c r="E1" s="172"/>
      <c r="F1" s="172"/>
    </row>
    <row r="2" spans="1:15" ht="15" customHeight="1">
      <c r="A2" s="173"/>
      <c r="B2" s="174"/>
      <c r="C2" s="174"/>
      <c r="D2" s="174"/>
      <c r="E2" s="174"/>
      <c r="F2" s="174"/>
    </row>
    <row r="3" spans="1:15" ht="15.75" customHeight="1">
      <c r="A3" s="173"/>
      <c r="B3" s="174"/>
      <c r="C3" s="174"/>
      <c r="D3" s="174"/>
      <c r="E3" s="174"/>
      <c r="F3" s="174"/>
      <c r="H3" s="197" t="s">
        <v>103</v>
      </c>
      <c r="I3" s="197"/>
      <c r="J3" s="197"/>
      <c r="K3" s="197"/>
      <c r="L3" s="197"/>
      <c r="M3" s="197"/>
      <c r="N3" s="197"/>
      <c r="O3" s="197"/>
    </row>
    <row r="4" spans="1:15" ht="6" customHeight="1">
      <c r="A4" s="95"/>
      <c r="B4" s="95"/>
      <c r="C4" s="95"/>
      <c r="D4" s="95"/>
      <c r="E4" s="95"/>
      <c r="F4" s="95"/>
      <c r="H4" s="197"/>
      <c r="I4" s="197"/>
      <c r="J4" s="197"/>
      <c r="K4" s="197"/>
      <c r="L4" s="197"/>
      <c r="M4" s="197"/>
      <c r="N4" s="197"/>
      <c r="O4" s="197"/>
    </row>
    <row r="5" spans="1:15" ht="15" customHeight="1">
      <c r="A5" s="175" t="s">
        <v>94</v>
      </c>
      <c r="B5" s="175"/>
      <c r="C5" s="175"/>
      <c r="D5" s="175"/>
      <c r="E5" s="175"/>
      <c r="F5" s="175"/>
      <c r="H5" s="197"/>
      <c r="I5" s="197"/>
      <c r="J5" s="197"/>
      <c r="K5" s="197"/>
      <c r="L5" s="197"/>
      <c r="M5" s="197"/>
      <c r="N5" s="197"/>
      <c r="O5" s="197"/>
    </row>
    <row r="6" spans="1:15" ht="21.75" customHeight="1">
      <c r="A6" s="175"/>
      <c r="B6" s="175"/>
      <c r="C6" s="175"/>
      <c r="D6" s="175"/>
      <c r="E6" s="175"/>
      <c r="F6" s="175"/>
      <c r="H6" s="197"/>
      <c r="I6" s="197"/>
      <c r="J6" s="197"/>
      <c r="K6" s="197"/>
      <c r="L6" s="197"/>
      <c r="M6" s="197"/>
      <c r="N6" s="197"/>
      <c r="O6" s="197"/>
    </row>
    <row r="7" spans="1:15" ht="18" customHeight="1">
      <c r="A7" s="187" t="s">
        <v>0</v>
      </c>
      <c r="B7" s="188"/>
      <c r="C7" s="188"/>
      <c r="D7" s="188"/>
      <c r="E7" s="188"/>
      <c r="F7" s="188"/>
      <c r="H7" s="196" t="s">
        <v>109</v>
      </c>
      <c r="I7" s="196"/>
      <c r="J7" s="196"/>
      <c r="K7" s="196"/>
      <c r="L7" s="196"/>
      <c r="M7" s="196"/>
      <c r="N7" s="196"/>
      <c r="O7" s="196"/>
    </row>
    <row r="8" spans="1:15" ht="15.75" customHeight="1">
      <c r="A8" s="99" t="s">
        <v>1</v>
      </c>
      <c r="B8" s="189" t="s">
        <v>226</v>
      </c>
      <c r="C8" s="190"/>
      <c r="D8" s="190"/>
      <c r="E8" s="190"/>
      <c r="F8" s="191"/>
      <c r="H8" s="196"/>
      <c r="I8" s="196"/>
      <c r="J8" s="196"/>
      <c r="K8" s="196"/>
      <c r="L8" s="196"/>
      <c r="M8" s="196"/>
      <c r="N8" s="196"/>
      <c r="O8" s="196"/>
    </row>
    <row r="9" spans="1:15" ht="15.75" customHeight="1">
      <c r="A9" s="99" t="s">
        <v>2</v>
      </c>
      <c r="B9" s="189" t="s">
        <v>227</v>
      </c>
      <c r="C9" s="190"/>
      <c r="D9" s="190"/>
      <c r="E9" s="190"/>
      <c r="F9" s="191"/>
      <c r="H9" s="196"/>
      <c r="I9" s="196"/>
      <c r="J9" s="196"/>
      <c r="K9" s="196"/>
      <c r="L9" s="196"/>
      <c r="M9" s="196"/>
      <c r="N9" s="196"/>
      <c r="O9" s="196"/>
    </row>
    <row r="10" spans="1:15" ht="21" customHeight="1">
      <c r="A10" s="99" t="s">
        <v>3</v>
      </c>
      <c r="B10" s="189" t="s">
        <v>228</v>
      </c>
      <c r="C10" s="190"/>
      <c r="D10" s="190"/>
      <c r="E10" s="190"/>
      <c r="F10" s="191"/>
      <c r="H10" s="220" t="s">
        <v>219</v>
      </c>
      <c r="I10" s="220"/>
      <c r="J10" s="220"/>
      <c r="K10" s="220"/>
      <c r="L10" s="220"/>
      <c r="M10" s="220"/>
      <c r="N10" s="220"/>
      <c r="O10" s="220"/>
    </row>
    <row r="11" spans="1:15" ht="33" customHeight="1">
      <c r="A11" s="105" t="s">
        <v>166</v>
      </c>
      <c r="B11" s="349" t="s">
        <v>229</v>
      </c>
      <c r="C11" s="192"/>
      <c r="D11" s="192"/>
      <c r="E11" s="192"/>
      <c r="F11" s="191"/>
      <c r="H11" s="220"/>
      <c r="I11" s="220"/>
      <c r="J11" s="220"/>
      <c r="K11" s="220"/>
      <c r="L11" s="220"/>
      <c r="M11" s="220"/>
      <c r="N11" s="220"/>
      <c r="O11" s="220"/>
    </row>
    <row r="12" spans="1:15" ht="18">
      <c r="A12" s="176" t="s">
        <v>4</v>
      </c>
      <c r="B12" s="176"/>
      <c r="C12" s="176"/>
      <c r="D12" s="176"/>
      <c r="E12" s="176"/>
      <c r="F12" s="113" t="s">
        <v>5</v>
      </c>
      <c r="H12" s="183"/>
      <c r="I12" s="184"/>
      <c r="J12" s="184"/>
      <c r="K12" s="184"/>
      <c r="L12" s="184"/>
      <c r="M12" s="184"/>
    </row>
    <row r="13" spans="1:15" ht="15" customHeight="1">
      <c r="A13" s="101"/>
      <c r="B13" s="112" t="s">
        <v>70</v>
      </c>
      <c r="C13" s="112" t="s">
        <v>71</v>
      </c>
      <c r="D13" s="194" t="s">
        <v>72</v>
      </c>
      <c r="E13" s="195"/>
      <c r="F13" s="193" t="s">
        <v>6</v>
      </c>
      <c r="H13" s="185"/>
      <c r="I13" s="186"/>
      <c r="J13" s="186"/>
      <c r="K13" s="186"/>
      <c r="L13" s="186"/>
      <c r="M13" s="186"/>
    </row>
    <row r="14" spans="1:15" ht="15" customHeight="1">
      <c r="A14" s="101" t="s">
        <v>53</v>
      </c>
      <c r="B14" s="154">
        <v>380</v>
      </c>
      <c r="C14" s="154">
        <v>230</v>
      </c>
      <c r="D14" s="189">
        <v>460</v>
      </c>
      <c r="E14" s="190"/>
      <c r="F14" s="193"/>
      <c r="H14" s="221" t="s">
        <v>55</v>
      </c>
      <c r="I14" s="222"/>
      <c r="J14" s="223"/>
      <c r="K14" s="177"/>
      <c r="L14" s="178"/>
      <c r="M14" s="179"/>
    </row>
    <row r="15" spans="1:15" ht="15" customHeight="1">
      <c r="A15" s="99" t="s">
        <v>52</v>
      </c>
      <c r="B15" s="189">
        <v>21.7</v>
      </c>
      <c r="C15" s="190"/>
      <c r="D15" s="190"/>
      <c r="E15" s="191"/>
      <c r="F15" s="114" t="s">
        <v>110</v>
      </c>
      <c r="H15" s="224"/>
      <c r="I15" s="225"/>
      <c r="J15" s="226"/>
      <c r="K15" s="180"/>
      <c r="L15" s="181"/>
      <c r="M15" s="182"/>
    </row>
    <row r="16" spans="1:15" ht="18" customHeight="1">
      <c r="A16" s="99" t="s">
        <v>24</v>
      </c>
      <c r="B16" s="189">
        <v>16</v>
      </c>
      <c r="C16" s="190"/>
      <c r="D16" s="190"/>
      <c r="E16" s="191"/>
      <c r="F16" s="114" t="s">
        <v>111</v>
      </c>
      <c r="H16" s="221"/>
      <c r="I16" s="222"/>
      <c r="J16" s="223"/>
      <c r="K16" s="177"/>
      <c r="L16" s="178"/>
      <c r="M16" s="179"/>
    </row>
    <row r="17" spans="1:13" ht="15" customHeight="1">
      <c r="A17" s="100" t="s">
        <v>54</v>
      </c>
      <c r="B17" s="190" t="s">
        <v>230</v>
      </c>
      <c r="C17" s="190"/>
      <c r="D17" s="190"/>
      <c r="E17" s="191"/>
      <c r="F17" s="97" t="s">
        <v>7</v>
      </c>
      <c r="H17" s="224"/>
      <c r="I17" s="225"/>
      <c r="J17" s="226"/>
      <c r="K17" s="180"/>
      <c r="L17" s="181"/>
      <c r="M17" s="182"/>
    </row>
    <row r="18" spans="1:13" ht="15" customHeight="1">
      <c r="A18" s="100" t="s">
        <v>167</v>
      </c>
      <c r="B18" s="192" t="s">
        <v>119</v>
      </c>
      <c r="C18" s="192"/>
      <c r="D18" s="192"/>
      <c r="E18" s="210"/>
      <c r="F18" s="114" t="s">
        <v>168</v>
      </c>
      <c r="H18" s="221"/>
      <c r="I18" s="222"/>
      <c r="J18" s="223"/>
      <c r="K18" s="177" t="s">
        <v>217</v>
      </c>
      <c r="L18" s="178"/>
      <c r="M18" s="179"/>
    </row>
    <row r="19" spans="1:13" ht="15" customHeight="1">
      <c r="A19" s="101"/>
      <c r="B19" s="111" t="s">
        <v>73</v>
      </c>
      <c r="C19" s="111" t="s">
        <v>74</v>
      </c>
      <c r="D19" s="111" t="s">
        <v>75</v>
      </c>
      <c r="E19" s="111" t="s">
        <v>80</v>
      </c>
      <c r="F19" s="193" t="s">
        <v>182</v>
      </c>
      <c r="H19" s="224"/>
      <c r="I19" s="225"/>
      <c r="J19" s="226"/>
      <c r="K19" s="180"/>
      <c r="L19" s="181"/>
      <c r="M19" s="182"/>
    </row>
    <row r="20" spans="1:13" ht="15" customHeight="1">
      <c r="A20" s="101" t="s">
        <v>56</v>
      </c>
      <c r="B20" s="155" t="s">
        <v>227</v>
      </c>
      <c r="C20" s="155" t="s">
        <v>227</v>
      </c>
      <c r="D20" s="155" t="s">
        <v>227</v>
      </c>
      <c r="E20" s="155" t="s">
        <v>227</v>
      </c>
      <c r="F20" s="193"/>
      <c r="H20" s="221"/>
      <c r="I20" s="222"/>
      <c r="J20" s="223"/>
      <c r="K20" s="177"/>
      <c r="L20" s="178"/>
      <c r="M20" s="179"/>
    </row>
    <row r="21" spans="1:13" ht="15" customHeight="1">
      <c r="A21" s="99" t="s">
        <v>63</v>
      </c>
      <c r="B21" s="198" t="s">
        <v>231</v>
      </c>
      <c r="C21" s="198"/>
      <c r="D21" s="198"/>
      <c r="E21" s="198"/>
      <c r="F21" s="114" t="s">
        <v>183</v>
      </c>
      <c r="H21" s="224"/>
      <c r="I21" s="225"/>
      <c r="J21" s="226"/>
      <c r="K21" s="180"/>
      <c r="L21" s="181"/>
      <c r="M21" s="182"/>
    </row>
    <row r="22" spans="1:13" ht="16">
      <c r="A22" s="99" t="s">
        <v>108</v>
      </c>
      <c r="B22" s="189" t="s">
        <v>232</v>
      </c>
      <c r="C22" s="190"/>
      <c r="D22" s="190"/>
      <c r="E22" s="191"/>
      <c r="F22" s="114" t="s">
        <v>112</v>
      </c>
    </row>
    <row r="23" spans="1:13" ht="16">
      <c r="A23" s="99" t="s">
        <v>8</v>
      </c>
      <c r="B23" s="189"/>
      <c r="C23" s="190"/>
      <c r="D23" s="190"/>
      <c r="E23" s="191"/>
      <c r="F23" s="114" t="s">
        <v>115</v>
      </c>
    </row>
    <row r="24" spans="1:13" ht="16">
      <c r="A24" s="99" t="s">
        <v>9</v>
      </c>
      <c r="B24" s="189"/>
      <c r="C24" s="190"/>
      <c r="D24" s="190"/>
      <c r="E24" s="191"/>
      <c r="F24" s="114" t="s">
        <v>116</v>
      </c>
    </row>
    <row r="25" spans="1:13" ht="18">
      <c r="A25" s="176" t="s">
        <v>102</v>
      </c>
      <c r="B25" s="176"/>
      <c r="C25" s="176"/>
      <c r="D25" s="176"/>
      <c r="E25" s="176"/>
      <c r="F25" s="113" t="s">
        <v>5</v>
      </c>
      <c r="G25" s="211" t="s">
        <v>214</v>
      </c>
      <c r="H25" s="212"/>
      <c r="I25" s="213"/>
    </row>
    <row r="26" spans="1:13" ht="15.75" customHeight="1">
      <c r="A26" s="99" t="s">
        <v>68</v>
      </c>
      <c r="B26" s="189"/>
      <c r="C26" s="190"/>
      <c r="D26" s="190"/>
      <c r="E26" s="191"/>
      <c r="F26" s="114" t="s">
        <v>66</v>
      </c>
      <c r="G26" s="214"/>
      <c r="H26" s="215"/>
      <c r="I26" s="216"/>
      <c r="J26" s="67"/>
    </row>
    <row r="27" spans="1:13" ht="16">
      <c r="A27" s="99" t="s">
        <v>105</v>
      </c>
      <c r="B27" s="189"/>
      <c r="C27" s="190"/>
      <c r="D27" s="190"/>
      <c r="E27" s="191"/>
      <c r="F27" s="114" t="s">
        <v>106</v>
      </c>
      <c r="G27" s="214"/>
      <c r="H27" s="215"/>
      <c r="I27" s="216"/>
      <c r="J27" s="67"/>
    </row>
    <row r="28" spans="1:13" ht="16">
      <c r="A28" s="99" t="s">
        <v>104</v>
      </c>
      <c r="B28" s="202" t="str">
        <f>IF(B27&gt;1,B26/B27," ")</f>
        <v xml:space="preserve"> </v>
      </c>
      <c r="C28" s="202"/>
      <c r="D28" s="202"/>
      <c r="E28" s="202"/>
      <c r="F28" s="114" t="s">
        <v>107</v>
      </c>
      <c r="G28" s="214"/>
      <c r="H28" s="215"/>
      <c r="I28" s="216"/>
      <c r="J28" s="67"/>
    </row>
    <row r="29" spans="1:13" ht="16">
      <c r="A29" s="99" t="s">
        <v>26</v>
      </c>
      <c r="B29" s="203"/>
      <c r="C29" s="204"/>
      <c r="D29" s="204"/>
      <c r="E29" s="205"/>
      <c r="F29" s="114" t="s">
        <v>95</v>
      </c>
      <c r="G29" s="214"/>
      <c r="H29" s="215"/>
      <c r="I29" s="216"/>
      <c r="J29" s="67"/>
    </row>
    <row r="30" spans="1:13" ht="16">
      <c r="A30" s="99" t="s">
        <v>120</v>
      </c>
      <c r="B30" s="209"/>
      <c r="C30" s="204"/>
      <c r="D30" s="204"/>
      <c r="E30" s="205"/>
      <c r="F30" s="114" t="s">
        <v>118</v>
      </c>
      <c r="G30" s="217"/>
      <c r="H30" s="218"/>
      <c r="I30" s="219"/>
    </row>
    <row r="31" spans="1:13" ht="16">
      <c r="A31" s="106"/>
      <c r="B31" s="112" t="s">
        <v>70</v>
      </c>
      <c r="C31" s="112" t="s">
        <v>71</v>
      </c>
      <c r="D31" s="194" t="s">
        <v>72</v>
      </c>
      <c r="E31" s="195"/>
      <c r="F31" s="193" t="s">
        <v>96</v>
      </c>
    </row>
    <row r="32" spans="1:13" ht="16">
      <c r="A32" s="107" t="s">
        <v>58</v>
      </c>
      <c r="B32" s="153" t="str">
        <f>IF(B29="","please give H x W x D in comments",(B14*B27)+(IF(B29="Euro Pallet",144,(IF(B29="UK Pallet",154,(IF(B29="US Pallet",141,IF(B29="Australia A Pallet",150,(IF(B29="D Pallet",144,IF(B29="Australia D Pallet",160,(IF(B29=" ","-","please give H x W xD in comments")))))))))))))</f>
        <v>please give H x W x D in comments</v>
      </c>
      <c r="C32" s="153" t="str">
        <f>IF(B29="Euro Pallet",1200,(IF(B29="UK Pallet",1200,(IF(B29="US Pallet",1219,(IF(B29="Australia A Pallet",1165,(IF(B29="Australia D Pallet",590,(IF(B29="D Pallet",800,"please give H x W x D in comments")))))))))))</f>
        <v>please give H x W x D in comments</v>
      </c>
      <c r="D32" s="206" t="str">
        <f>IF(B29="Euro Pallet",800,(IF(B29="UK Pallet",1000,(IF(B29="US Pallet",1016,(IF(B29="Australia A Pallet",1165,(IF(B29="Australia D Pallet",775,(IF(B29="D Pallet",600,"please give H x W x D in comments")))))))))))</f>
        <v>please give H x W x D in comments</v>
      </c>
      <c r="E32" s="207"/>
      <c r="F32" s="193"/>
    </row>
    <row r="33" spans="1:6" ht="16">
      <c r="A33" s="99" t="s">
        <v>98</v>
      </c>
      <c r="B33" s="208"/>
      <c r="C33" s="190"/>
      <c r="D33" s="190"/>
      <c r="E33" s="191"/>
      <c r="F33" s="199" t="s">
        <v>213</v>
      </c>
    </row>
    <row r="34" spans="1:6" ht="16">
      <c r="A34" s="99" t="s">
        <v>99</v>
      </c>
      <c r="B34" s="189"/>
      <c r="C34" s="190"/>
      <c r="D34" s="190"/>
      <c r="E34" s="191"/>
      <c r="F34" s="200"/>
    </row>
    <row r="35" spans="1:6" ht="16">
      <c r="A35" s="99" t="s">
        <v>100</v>
      </c>
      <c r="B35" s="189"/>
      <c r="C35" s="190"/>
      <c r="D35" s="190"/>
      <c r="E35" s="191"/>
      <c r="F35" s="201"/>
    </row>
    <row r="36" spans="1:6">
      <c r="A36" s="13" t="s">
        <v>14</v>
      </c>
      <c r="B36" s="14"/>
      <c r="C36" s="14"/>
      <c r="D36" s="14"/>
      <c r="E36" s="14"/>
      <c r="F36" s="15"/>
    </row>
  </sheetData>
  <protectedRanges>
    <protectedRange algorithmName="SHA-512" hashValue="I+JCgGoGWPO6h0EeUZjHgBohbL47+5TVn8pBm022IuTuv1XAQ/yKFv1n9rRoctr41HZsBnW9D+cdI1IkFTy1Hg==" saltValue="Qw7OVJ1kHWM7nXRH9XX1xw==" spinCount="100000" sqref="B14:E18 B8:F11 B20:E24 B26:E27 B29:E30 B33:E35" name="Bereich1"/>
  </protectedRanges>
  <mergeCells count="46">
    <mergeCell ref="G25:I30"/>
    <mergeCell ref="H10:O11"/>
    <mergeCell ref="H20:J21"/>
    <mergeCell ref="K16:M17"/>
    <mergeCell ref="K18:M19"/>
    <mergeCell ref="H18:J19"/>
    <mergeCell ref="H16:J17"/>
    <mergeCell ref="H14:J15"/>
    <mergeCell ref="K20:M21"/>
    <mergeCell ref="B18:E18"/>
    <mergeCell ref="B22:E22"/>
    <mergeCell ref="F19:F20"/>
    <mergeCell ref="B16:E16"/>
    <mergeCell ref="B17:E17"/>
    <mergeCell ref="A25:E25"/>
    <mergeCell ref="B23:E23"/>
    <mergeCell ref="B21:E21"/>
    <mergeCell ref="F33:F35"/>
    <mergeCell ref="B26:E26"/>
    <mergeCell ref="B28:E28"/>
    <mergeCell ref="B29:E29"/>
    <mergeCell ref="D32:E32"/>
    <mergeCell ref="B33:E33"/>
    <mergeCell ref="B34:E34"/>
    <mergeCell ref="B35:E35"/>
    <mergeCell ref="F31:F32"/>
    <mergeCell ref="D31:E31"/>
    <mergeCell ref="B27:E27"/>
    <mergeCell ref="B30:E30"/>
    <mergeCell ref="B24:E24"/>
    <mergeCell ref="A1:F3"/>
    <mergeCell ref="A5:F6"/>
    <mergeCell ref="A12:E12"/>
    <mergeCell ref="K14:M15"/>
    <mergeCell ref="H12:M13"/>
    <mergeCell ref="A7:F7"/>
    <mergeCell ref="B8:F8"/>
    <mergeCell ref="B9:F9"/>
    <mergeCell ref="B11:F11"/>
    <mergeCell ref="D14:E14"/>
    <mergeCell ref="B15:E15"/>
    <mergeCell ref="B10:F10"/>
    <mergeCell ref="F13:F14"/>
    <mergeCell ref="D13:E13"/>
    <mergeCell ref="H7:O9"/>
    <mergeCell ref="H3:O6"/>
  </mergeCells>
  <conditionalFormatting sqref="B8:F11">
    <cfRule type="containsBlanks" dxfId="29" priority="1">
      <formula>LEN(TRIM(B8))=0</formula>
    </cfRule>
  </conditionalFormatting>
  <conditionalFormatting sqref="B14:E18">
    <cfRule type="containsBlanks" dxfId="28" priority="2">
      <formula>LEN(TRIM(B14))=0</formula>
    </cfRule>
  </conditionalFormatting>
  <conditionalFormatting sqref="B20:E24">
    <cfRule type="containsBlanks" dxfId="27" priority="3">
      <formula>LEN(TRIM(B20))=0</formula>
    </cfRule>
  </conditionalFormatting>
  <conditionalFormatting sqref="B26:E27">
    <cfRule type="containsBlanks" dxfId="26" priority="4">
      <formula>LEN(TRIM(B26))=0</formula>
    </cfRule>
  </conditionalFormatting>
  <conditionalFormatting sqref="B29:E30">
    <cfRule type="containsBlanks" dxfId="25" priority="5">
      <formula>LEN(TRIM(B29))=0</formula>
    </cfRule>
  </conditionalFormatting>
  <conditionalFormatting sqref="B33:E35">
    <cfRule type="containsBlanks" dxfId="24" priority="6">
      <formula>LEN(TRIM(B33))=0</formula>
    </cfRule>
  </conditionalFormatting>
  <dataValidations count="6">
    <dataValidation type="list" allowBlank="1" showInputMessage="1" showErrorMessage="1" sqref="C17:E17 B17" xr:uid="{00000000-0002-0000-0000-000000000000}">
      <formula1>"Ambient, Chilled, Frozen, Ambient Controlled&lt;10°c at / &gt;20°c"</formula1>
    </dataValidation>
    <dataValidation type="list" allowBlank="1" showInputMessage="1" showErrorMessage="1" sqref="B29:E29" xr:uid="{00000000-0002-0000-0000-000001000000}">
      <formula1>"Euro Pallet, US Pallet, Australia A Pallet, Australia D Pallet, UK Pallet, D Pallet, other - please add in Comment"</formula1>
    </dataValidation>
    <dataValidation type="list" allowBlank="1" showInputMessage="1" showErrorMessage="1" sqref="B22" xr:uid="{00000000-0002-0000-0000-000002000000}">
      <formula1>"EUR, GBP, AUD,USD"</formula1>
    </dataValidation>
    <dataValidation type="list" allowBlank="1" showInputMessage="1" showErrorMessage="1" sqref="B23:E23" xr:uid="{00000000-0002-0000-0000-000003000000}">
      <formula1>"Yes,Loose Loaded, ,"</formula1>
    </dataValidation>
    <dataValidation type="list" allowBlank="1" showInputMessage="1" showErrorMessage="1" sqref="B30:E30" xr:uid="{00000000-0002-0000-0000-000004000000}">
      <formula1>"Yes - for Storage and Transport,Only for Storage,No"</formula1>
    </dataValidation>
    <dataValidation type="list" allowBlank="1" showInputMessage="1" showErrorMessage="1" sqref="B18:E18" xr:uid="{00000000-0002-0000-0000-000005000000}">
      <formula1>"No, Yes"</formula1>
    </dataValidation>
  </dataValidations>
  <hyperlinks>
    <hyperlink ref="B11" r:id="rId1" xr:uid="{A4388B9A-C14F-3046-897B-BE956A6912EE}"/>
  </hyperlinks>
  <pageMargins left="0.7" right="0.7" top="0.78740157499999996" bottom="0.78740157499999996" header="0.3" footer="0.3"/>
  <pageSetup paperSize="9" orientation="portrait" r:id="rId2"/>
  <ignoredErrors>
    <ignoredError sqref="B28" unlockedFormula="1"/>
  </ignoredError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theme="0"/>
  </sheetPr>
  <dimension ref="A1:R84"/>
  <sheetViews>
    <sheetView showGridLines="0" zoomScale="85" zoomScaleNormal="85" workbookViewId="0">
      <selection activeCell="B16" sqref="B16"/>
    </sheetView>
  </sheetViews>
  <sheetFormatPr baseColWidth="10" defaultColWidth="10.33203125" defaultRowHeight="15"/>
  <cols>
    <col min="1" max="1" width="57.33203125" style="2" customWidth="1"/>
    <col min="2" max="2" width="25.6640625" style="1" customWidth="1"/>
    <col min="3" max="3" width="29.5" style="1" customWidth="1"/>
    <col min="4" max="4" width="23.33203125" style="1" customWidth="1"/>
    <col min="5" max="5" width="14.6640625" style="1" customWidth="1"/>
    <col min="6" max="6" width="19.83203125" style="2" customWidth="1"/>
    <col min="7" max="7" width="18.1640625" style="2" customWidth="1"/>
    <col min="8" max="16384" width="10.33203125" style="2"/>
  </cols>
  <sheetData>
    <row r="1" spans="1:15" ht="15" customHeight="1">
      <c r="A1" s="240" t="s">
        <v>59</v>
      </c>
      <c r="B1" s="240"/>
      <c r="C1" s="240"/>
      <c r="D1" s="240"/>
      <c r="E1" s="240"/>
    </row>
    <row r="2" spans="1:15" ht="33.75" customHeight="1">
      <c r="A2" s="240"/>
      <c r="B2" s="240"/>
      <c r="C2" s="240"/>
      <c r="D2" s="240"/>
      <c r="E2" s="240"/>
    </row>
    <row r="3" spans="1:15" s="12" customFormat="1" ht="7.5" customHeight="1">
      <c r="A3" s="98"/>
      <c r="B3" s="98"/>
      <c r="C3" s="98"/>
      <c r="D3" s="98"/>
      <c r="E3" s="98"/>
      <c r="G3" s="3"/>
      <c r="H3" s="254" t="s">
        <v>81</v>
      </c>
      <c r="I3" s="254"/>
      <c r="J3" s="254"/>
      <c r="K3" s="254"/>
      <c r="L3" s="254"/>
      <c r="M3" s="254"/>
      <c r="N3" s="254"/>
      <c r="O3" s="254"/>
    </row>
    <row r="4" spans="1:15" s="3" customFormat="1" ht="23.25" customHeight="1">
      <c r="A4" s="187" t="s">
        <v>15</v>
      </c>
      <c r="B4" s="188"/>
      <c r="C4" s="188"/>
      <c r="D4" s="188"/>
      <c r="E4" s="188"/>
      <c r="H4" s="254"/>
      <c r="I4" s="254"/>
      <c r="J4" s="254"/>
      <c r="K4" s="254"/>
      <c r="L4" s="254"/>
      <c r="M4" s="254"/>
      <c r="N4" s="254"/>
      <c r="O4" s="254"/>
    </row>
    <row r="5" spans="1:15" s="3" customFormat="1" ht="16">
      <c r="A5" s="99" t="s">
        <v>2</v>
      </c>
      <c r="B5" s="243" t="str">
        <f>IF(VLOOKUP(A5,'Basic Info'!A:B,2,0)=0," ",(VLOOKUP(A5,'Basic Info'!A:B,2,0)))</f>
        <v>/</v>
      </c>
      <c r="C5" s="243"/>
      <c r="D5" s="243"/>
      <c r="E5" s="243"/>
      <c r="H5" s="255" t="s">
        <v>181</v>
      </c>
      <c r="I5" s="255"/>
      <c r="J5" s="255"/>
      <c r="K5" s="255"/>
      <c r="L5" s="255"/>
      <c r="M5" s="255"/>
      <c r="N5" s="255"/>
      <c r="O5" s="255"/>
    </row>
    <row r="6" spans="1:15" s="3" customFormat="1" ht="16">
      <c r="A6" s="99" t="s">
        <v>1</v>
      </c>
      <c r="B6" s="243" t="str">
        <f>IF(VLOOKUP(A6,'Basic Info'!A:B,2,0)=0," ",(VLOOKUP(A6,'Basic Info'!A:B,2,0)))</f>
        <v>Heavy Duty Tape Dispenser</v>
      </c>
      <c r="C6" s="243"/>
      <c r="D6" s="243"/>
      <c r="E6" s="243"/>
      <c r="H6" s="255"/>
      <c r="I6" s="255"/>
      <c r="J6" s="255"/>
      <c r="K6" s="255"/>
      <c r="L6" s="255"/>
      <c r="M6" s="255"/>
      <c r="N6" s="255"/>
      <c r="O6" s="255"/>
    </row>
    <row r="7" spans="1:15" s="3" customFormat="1" ht="15" customHeight="1">
      <c r="A7" s="99" t="s">
        <v>165</v>
      </c>
      <c r="B7" s="259"/>
      <c r="C7" s="259"/>
      <c r="D7" s="259"/>
      <c r="E7" s="259"/>
      <c r="H7" s="256" t="s">
        <v>97</v>
      </c>
      <c r="I7" s="256"/>
      <c r="J7" s="256"/>
      <c r="K7" s="256"/>
      <c r="L7" s="256"/>
      <c r="M7" s="256"/>
      <c r="N7" s="256"/>
      <c r="O7" s="256"/>
    </row>
    <row r="8" spans="1:15" s="3" customFormat="1" ht="15" customHeight="1">
      <c r="A8" s="99" t="s">
        <v>203</v>
      </c>
      <c r="B8" s="249"/>
      <c r="C8" s="250"/>
      <c r="D8" s="250"/>
      <c r="E8" s="251"/>
      <c r="H8" s="256"/>
      <c r="I8" s="256"/>
      <c r="J8" s="256"/>
      <c r="K8" s="256"/>
      <c r="L8" s="256"/>
      <c r="M8" s="256"/>
      <c r="N8" s="256"/>
      <c r="O8" s="256"/>
    </row>
    <row r="9" spans="1:15" s="3" customFormat="1" ht="16">
      <c r="A9" s="99" t="s">
        <v>202</v>
      </c>
      <c r="B9" s="249"/>
      <c r="C9" s="250"/>
      <c r="D9" s="250"/>
      <c r="E9" s="251"/>
    </row>
    <row r="10" spans="1:15" s="3" customFormat="1" ht="15.75" customHeight="1">
      <c r="A10" s="99" t="s">
        <v>76</v>
      </c>
      <c r="B10" s="249"/>
      <c r="C10" s="250"/>
      <c r="D10" s="250"/>
      <c r="E10" s="251"/>
      <c r="F10" s="257" t="str">
        <f>IF(B7="Special","In case of Specials please fill out the exact Volumes",IF(B7=" "," ",IF(B7="Seasonal Item"," ",IF(B7="Core Range"," "," "))))</f>
        <v xml:space="preserve"> </v>
      </c>
      <c r="G10" s="258"/>
    </row>
    <row r="11" spans="1:15" s="3" customFormat="1" ht="16">
      <c r="A11" s="99" t="s">
        <v>77</v>
      </c>
      <c r="B11" s="249"/>
      <c r="C11" s="250"/>
      <c r="D11" s="250"/>
      <c r="E11" s="251"/>
      <c r="F11" s="257"/>
      <c r="G11" s="258"/>
    </row>
    <row r="12" spans="1:15" s="3" customFormat="1" ht="16">
      <c r="A12" s="99" t="s">
        <v>69</v>
      </c>
      <c r="B12" s="249"/>
      <c r="C12" s="250"/>
      <c r="D12" s="250"/>
      <c r="E12" s="251"/>
      <c r="F12" s="148"/>
    </row>
    <row r="13" spans="1:15" ht="15" customHeight="1">
      <c r="A13" s="100" t="s">
        <v>200</v>
      </c>
      <c r="B13" s="100" t="s">
        <v>17</v>
      </c>
      <c r="C13" s="156"/>
      <c r="D13" s="100" t="s">
        <v>18</v>
      </c>
      <c r="E13" s="158"/>
      <c r="F13" s="148"/>
      <c r="G13" s="3"/>
    </row>
    <row r="14" spans="1:15" ht="16">
      <c r="A14" s="100" t="s">
        <v>201</v>
      </c>
      <c r="B14" s="100" t="s">
        <v>19</v>
      </c>
      <c r="C14" s="156"/>
      <c r="D14" s="100" t="s">
        <v>20</v>
      </c>
      <c r="E14" s="158"/>
      <c r="G14" s="3"/>
    </row>
    <row r="15" spans="1:15" ht="16">
      <c r="A15" s="150" t="s">
        <v>199</v>
      </c>
      <c r="B15" s="100" t="s">
        <v>224</v>
      </c>
      <c r="C15" s="157"/>
      <c r="D15" s="100" t="s">
        <v>225</v>
      </c>
      <c r="E15" s="158"/>
      <c r="G15" s="3"/>
    </row>
    <row r="16" spans="1:15" ht="16">
      <c r="A16" s="150" t="s">
        <v>222</v>
      </c>
      <c r="B16" s="100" t="s">
        <v>220</v>
      </c>
      <c r="C16" s="157"/>
      <c r="D16" s="100" t="s">
        <v>221</v>
      </c>
      <c r="E16" s="158"/>
      <c r="F16" s="170" t="s">
        <v>223</v>
      </c>
    </row>
    <row r="17" spans="1:18" ht="18">
      <c r="A17" s="232" t="s">
        <v>21</v>
      </c>
      <c r="B17" s="233"/>
      <c r="C17" s="233"/>
      <c r="D17" s="233"/>
      <c r="E17" s="233"/>
      <c r="F17" s="3"/>
      <c r="G17" s="3"/>
      <c r="H17" s="3"/>
    </row>
    <row r="18" spans="1:18" ht="16">
      <c r="A18" s="99" t="s">
        <v>3</v>
      </c>
      <c r="B18" s="237" t="str">
        <f>IF(VLOOKUP(A18,'Basic Info'!A:B,2,0)=0," ",VLOOKUP(A18,'Basic Info'!A:B,2,0))</f>
        <v>A2V Trade ltd</v>
      </c>
      <c r="C18" s="238"/>
      <c r="D18" s="238"/>
      <c r="E18" s="239"/>
      <c r="F18" s="3"/>
      <c r="G18" s="3"/>
      <c r="H18" s="3"/>
    </row>
    <row r="19" spans="1:18" s="3" customFormat="1" ht="16">
      <c r="A19" s="99" t="s">
        <v>117</v>
      </c>
      <c r="B19" s="249"/>
      <c r="C19" s="250"/>
      <c r="D19" s="250"/>
      <c r="E19" s="251"/>
    </row>
    <row r="20" spans="1:18" s="3" customFormat="1" ht="16">
      <c r="A20" s="100" t="s">
        <v>166</v>
      </c>
      <c r="B20" s="237" t="str">
        <f>IF(VLOOKUP(A20,'Basic Info'!A:B,2,0)=0," ",VLOOKUP(A20,'Basic Info'!A:B,2,0))</f>
        <v>logistics@a2v.com</v>
      </c>
      <c r="C20" s="238"/>
      <c r="D20" s="238"/>
      <c r="E20" s="239"/>
    </row>
    <row r="21" spans="1:18" s="3" customFormat="1" ht="16">
      <c r="A21" s="100" t="s">
        <v>209</v>
      </c>
      <c r="B21" s="241" t="s">
        <v>206</v>
      </c>
      <c r="C21" s="242"/>
      <c r="D21" s="242"/>
      <c r="E21" s="161" t="s">
        <v>208</v>
      </c>
      <c r="R21" s="152"/>
    </row>
    <row r="22" spans="1:18" s="3" customFormat="1" ht="16">
      <c r="A22" s="100" t="s">
        <v>210</v>
      </c>
      <c r="B22" s="241" t="s">
        <v>207</v>
      </c>
      <c r="C22" s="242"/>
      <c r="D22" s="242"/>
      <c r="E22" s="161" t="s">
        <v>208</v>
      </c>
      <c r="R22" s="152" t="b">
        <v>0</v>
      </c>
    </row>
    <row r="23" spans="1:18" s="3" customFormat="1" ht="34">
      <c r="A23" s="108" t="s">
        <v>113</v>
      </c>
      <c r="B23" s="189"/>
      <c r="C23" s="190"/>
      <c r="D23" s="190"/>
      <c r="E23" s="191"/>
    </row>
    <row r="24" spans="1:18" ht="15.75" customHeight="1">
      <c r="A24" s="108" t="s">
        <v>114</v>
      </c>
      <c r="B24" s="189"/>
      <c r="C24" s="190"/>
      <c r="D24" s="190"/>
      <c r="E24" s="191"/>
      <c r="F24" s="3"/>
      <c r="G24" s="3"/>
    </row>
    <row r="25" spans="1:18" ht="15.75" customHeight="1">
      <c r="A25" s="101"/>
      <c r="B25" s="111" t="s">
        <v>73</v>
      </c>
      <c r="C25" s="111" t="s">
        <v>74</v>
      </c>
      <c r="D25" s="111" t="s">
        <v>75</v>
      </c>
      <c r="E25" s="111" t="s">
        <v>80</v>
      </c>
      <c r="G25" s="3"/>
    </row>
    <row r="26" spans="1:18" ht="15.75" customHeight="1">
      <c r="A26" s="101" t="s">
        <v>56</v>
      </c>
      <c r="B26" s="110" t="str">
        <f>IF(VLOOKUP(A26,'Basic Info'!A:F,2,0)=0," ",(VLOOKUP(A26,'Basic Info'!A:F,2,0)))</f>
        <v>/</v>
      </c>
      <c r="C26" s="110" t="str">
        <f>IF(VLOOKUP(A26,'Basic Info'!A:F,3,0)=0," ",(VLOOKUP(A26,'Basic Info'!A:F,3,0)))</f>
        <v>/</v>
      </c>
      <c r="D26" s="110" t="str">
        <f>IF(VLOOKUP(A26,'Basic Info'!A:F,4,0)=0," ",(VLOOKUP(A26,'Basic Info'!A:F,4,0)))</f>
        <v>/</v>
      </c>
      <c r="E26" s="110" t="str">
        <f>IF(VLOOKUP(A26,'Basic Info'!A:G,5,0)=0," ",(VLOOKUP(A26,'Basic Info'!A:G,5,0)))</f>
        <v>/</v>
      </c>
      <c r="G26" s="149"/>
    </row>
    <row r="27" spans="1:18" ht="16">
      <c r="A27" s="100" t="s">
        <v>64</v>
      </c>
      <c r="B27" s="237" t="str">
        <f>IF(VLOOKUP(A27,'Basic Info'!A:F,2,0)=0," ",(VLOOKUP(A27,'Basic Info'!A:F,2,0)))</f>
        <v>Ningbo</v>
      </c>
      <c r="C27" s="238"/>
      <c r="D27" s="238"/>
      <c r="E27" s="239"/>
    </row>
    <row r="28" spans="1:18" ht="31.5" customHeight="1">
      <c r="A28" s="108" t="s">
        <v>198</v>
      </c>
      <c r="B28" s="234"/>
      <c r="C28" s="235"/>
      <c r="D28" s="235"/>
      <c r="E28" s="236"/>
      <c r="F28" s="257" t="str">
        <f>IF(B7="Special","For GS Buying only: please note in comments if Quantity Review is needed",IF(B7=" "," ",IF(B7="Seasonal Item"," ",IF(B7="Core Range"," "," "))))</f>
        <v xml:space="preserve"> </v>
      </c>
      <c r="G28" s="258"/>
    </row>
    <row r="29" spans="1:18" ht="18">
      <c r="A29" s="232" t="s">
        <v>22</v>
      </c>
      <c r="B29" s="233"/>
      <c r="C29" s="233"/>
      <c r="D29" s="233"/>
      <c r="E29" s="233"/>
      <c r="G29" s="3"/>
    </row>
    <row r="30" spans="1:18" ht="16">
      <c r="A30" s="99" t="s">
        <v>24</v>
      </c>
      <c r="B30" s="229">
        <f>IF(VLOOKUP(GBIE!A30,'Basic Info'!A:F,2,0)=0," ",(VLOOKUP(GBIE!A30,'Basic Info'!A:F,2,0)))</f>
        <v>16</v>
      </c>
      <c r="C30" s="230"/>
      <c r="D30" s="230"/>
      <c r="E30" s="231"/>
      <c r="G30" s="3"/>
    </row>
    <row r="31" spans="1:18" ht="16">
      <c r="A31" s="99" t="s">
        <v>52</v>
      </c>
      <c r="B31" s="229">
        <f>IF(VLOOKUP(GBIE!A31,'Basic Info'!A:F,2,0)=0," ",(VLOOKUP(GBIE!A31,'Basic Info'!A:F,2,0)))</f>
        <v>21.7</v>
      </c>
      <c r="C31" s="230"/>
      <c r="D31" s="230"/>
      <c r="E31" s="231"/>
      <c r="F31" s="3"/>
      <c r="G31" s="3"/>
    </row>
    <row r="32" spans="1:18" ht="16">
      <c r="A32" s="100" t="s">
        <v>104</v>
      </c>
      <c r="B32" s="229" t="str">
        <f>IF(VLOOKUP(GBIE!A32,'Basic Info'!A:F,2,0)=0," ",(VLOOKUP(GBIE!A32,'Basic Info'!A:F,2,0)))</f>
        <v xml:space="preserve"> </v>
      </c>
      <c r="C32" s="230"/>
      <c r="D32" s="230"/>
      <c r="E32" s="231"/>
      <c r="F32" s="3"/>
      <c r="G32" s="3"/>
    </row>
    <row r="33" spans="1:7" ht="16">
      <c r="A33" s="247" t="s">
        <v>78</v>
      </c>
      <c r="B33" s="111" t="s">
        <v>70</v>
      </c>
      <c r="C33" s="111" t="s">
        <v>71</v>
      </c>
      <c r="D33" s="227" t="s">
        <v>72</v>
      </c>
      <c r="E33" s="228"/>
      <c r="F33" s="3"/>
      <c r="G33" s="3"/>
    </row>
    <row r="34" spans="1:7" ht="15.75" customHeight="1">
      <c r="A34" s="248"/>
      <c r="B34" s="167">
        <f>IF(VLOOKUP(LEFT(A33,16),'Basic Info'!A:B,2,0)=0," ",(VLOOKUP(LEFT(A33,16),'Basic Info'!A:B,2,0)))</f>
        <v>380</v>
      </c>
      <c r="C34" s="167">
        <f>IF(VLOOKUP(LEFT(A33,16),'Basic Info'!A:C,3,0)=0," ",(VLOOKUP(LEFT(A33,16),'Basic Info'!A:C,3,0)))</f>
        <v>230</v>
      </c>
      <c r="D34" s="261">
        <f>IF(VLOOKUP(LEFT(A33,16),'Basic Info'!A:D,4,0)=0," ",(VLOOKUP(LEFT(A33,16),'Basic Info'!A:D,4,0)))</f>
        <v>460</v>
      </c>
      <c r="E34" s="263"/>
      <c r="F34" s="3"/>
      <c r="G34" s="3"/>
    </row>
    <row r="35" spans="1:7" ht="16">
      <c r="A35" s="100" t="s">
        <v>8</v>
      </c>
      <c r="B35" s="244" t="str">
        <f>IF(VLOOKUP(GBIE!A35,'Basic Info'!A:F,2,0)=0," ",(VLOOKUP(GBIE!A35,'Basic Info'!A:F,2,0)))</f>
        <v xml:space="preserve"> </v>
      </c>
      <c r="C35" s="245"/>
      <c r="D35" s="245"/>
      <c r="E35" s="246"/>
      <c r="F35" s="3"/>
      <c r="G35" s="3"/>
    </row>
    <row r="36" spans="1:7" s="1" customFormat="1" ht="15" customHeight="1">
      <c r="A36" s="99" t="s">
        <v>120</v>
      </c>
      <c r="B36" s="244" t="str">
        <f>IF(VLOOKUP(GBIE!A36,'Basic Info'!A:F,2,0)=0," ",(VLOOKUP(GBIE!A36,'Basic Info'!A:F,2,0)))</f>
        <v xml:space="preserve"> </v>
      </c>
      <c r="C36" s="245"/>
      <c r="D36" s="245"/>
      <c r="E36" s="246"/>
      <c r="F36" s="3"/>
    </row>
    <row r="37" spans="1:7" s="1" customFormat="1" ht="15" customHeight="1">
      <c r="A37" s="99" t="s">
        <v>11</v>
      </c>
      <c r="B37" s="244" t="str">
        <f>IF(B40=" "," ",B40/B43)</f>
        <v xml:space="preserve"> </v>
      </c>
      <c r="C37" s="245"/>
      <c r="D37" s="245"/>
      <c r="E37" s="246"/>
    </row>
    <row r="38" spans="1:7" ht="16">
      <c r="A38" s="99" t="s">
        <v>12</v>
      </c>
      <c r="B38" s="244" t="str">
        <f>IF(B41=" "," ",B41/B43)</f>
        <v xml:space="preserve"> </v>
      </c>
      <c r="C38" s="245"/>
      <c r="D38" s="245"/>
      <c r="E38" s="246"/>
      <c r="F38" s="1"/>
      <c r="G38" s="1"/>
    </row>
    <row r="39" spans="1:7" ht="15" customHeight="1">
      <c r="A39" s="99" t="s">
        <v>101</v>
      </c>
      <c r="B39" s="244" t="str">
        <f>IF(B42=" "," ",B42/B43)</f>
        <v xml:space="preserve"> </v>
      </c>
      <c r="C39" s="245"/>
      <c r="D39" s="245"/>
      <c r="E39" s="246"/>
      <c r="F39" s="1"/>
      <c r="G39" s="3"/>
    </row>
    <row r="40" spans="1:7" customFormat="1" ht="16">
      <c r="A40" s="99" t="s">
        <v>98</v>
      </c>
      <c r="B40" s="244" t="str">
        <f>IF(VLOOKUP(A40,'Basic Info'!A:F,2,0)=0," ",VLOOKUP(A40,'Basic Info'!A:F,2,0))</f>
        <v xml:space="preserve"> </v>
      </c>
      <c r="C40" s="245"/>
      <c r="D40" s="245"/>
      <c r="E40" s="246"/>
      <c r="F40" s="2"/>
      <c r="G40" s="3"/>
    </row>
    <row r="41" spans="1:7" customFormat="1" ht="16">
      <c r="A41" s="99" t="s">
        <v>99</v>
      </c>
      <c r="B41" s="244" t="str">
        <f>IF(VLOOKUP(A41,'Basic Info'!A:F,2,0)=0," ",VLOOKUP(A41,'Basic Info'!A:F,2,0))</f>
        <v xml:space="preserve"> </v>
      </c>
      <c r="C41" s="245"/>
      <c r="D41" s="245"/>
      <c r="E41" s="246"/>
    </row>
    <row r="42" spans="1:7" ht="16">
      <c r="A42" s="99" t="s">
        <v>100</v>
      </c>
      <c r="B42" s="244" t="str">
        <f>IF(VLOOKUP(A42,'Basic Info'!A:F,2,0)=0," ",VLOOKUP(A42,'Basic Info'!A:F,2,0))</f>
        <v xml:space="preserve"> </v>
      </c>
      <c r="C42" s="245"/>
      <c r="D42" s="245"/>
      <c r="E42" s="246"/>
      <c r="G42"/>
    </row>
    <row r="43" spans="1:7" ht="16">
      <c r="A43" s="99" t="s">
        <v>25</v>
      </c>
      <c r="B43" s="261" t="str">
        <f>IF(VLOOKUP(A43,'Basic Info'!A:F,2,0)=0," ",(VLOOKUP(A43,'Basic Info'!A:F,2,0)))</f>
        <v xml:space="preserve"> </v>
      </c>
      <c r="C43" s="262"/>
      <c r="D43" s="262"/>
      <c r="E43" s="263"/>
      <c r="G43" s="3"/>
    </row>
    <row r="44" spans="1:7" ht="16">
      <c r="A44" s="99" t="s">
        <v>23</v>
      </c>
      <c r="B44" s="244" t="e">
        <f>IF(B31=" "," ",B31*B43+25)</f>
        <v>#VALUE!</v>
      </c>
      <c r="C44" s="245"/>
      <c r="D44" s="245"/>
      <c r="E44" s="246"/>
      <c r="G44" s="4"/>
    </row>
    <row r="45" spans="1:7" ht="16">
      <c r="A45" s="103" t="s">
        <v>26</v>
      </c>
      <c r="B45" s="243" t="str">
        <f>IF(VLOOKUP(GBIE!A45,'Basic Info'!A:F,2,0)=0," ",(VLOOKUP(GBIE!A45,'Basic Info'!A:F,2,0)))</f>
        <v xml:space="preserve"> </v>
      </c>
      <c r="C45" s="243"/>
      <c r="D45" s="252" t="s">
        <v>180</v>
      </c>
      <c r="E45" s="253"/>
      <c r="G45" s="5"/>
    </row>
    <row r="46" spans="1:7" ht="16">
      <c r="A46" s="102"/>
      <c r="B46" s="111" t="s">
        <v>70</v>
      </c>
      <c r="C46" s="111" t="s">
        <v>71</v>
      </c>
      <c r="D46" s="227" t="s">
        <v>72</v>
      </c>
      <c r="E46" s="228"/>
      <c r="G46" s="8"/>
    </row>
    <row r="47" spans="1:7" ht="16">
      <c r="A47" s="104" t="s">
        <v>79</v>
      </c>
      <c r="B47" s="110" t="str">
        <f>IF(VLOOKUP(LEFT(A47,16),'Basic Info'!A:F,2,0)=0," ",(VLOOKUP(LEFT(A47,16),'Basic Info'!A:F,2,0)))</f>
        <v>please give H x W x D in comments</v>
      </c>
      <c r="C47" s="110" t="str">
        <f>IF(VLOOKUP(LEFT(A47,16),'Basic Info'!A:C,3,0)=0," ",(VLOOKUP(LEFT(A47,16),'Basic Info'!A:C,3,0)))</f>
        <v>please give H x W x D in comments</v>
      </c>
      <c r="D47" s="237" t="str">
        <f>IF(VLOOKUP(LEFT(A47,16),'Basic Info'!A:D,4,0)=0," ",(VLOOKUP(LEFT(A47,16),'Basic Info'!A:D,4,0)))</f>
        <v>please give H x W x D in comments</v>
      </c>
      <c r="E47" s="239"/>
      <c r="G47" s="8"/>
    </row>
    <row r="48" spans="1:7" ht="16">
      <c r="A48" s="99" t="s">
        <v>54</v>
      </c>
      <c r="B48" s="244" t="str">
        <f>IF(VLOOKUP(GBIE!A48,'Basic Info'!A:F,2,0)=0," ",(VLOOKUP(GBIE!A48,'Basic Info'!A:F,2,0)))</f>
        <v>Ambient</v>
      </c>
      <c r="C48" s="245"/>
      <c r="D48" s="245"/>
      <c r="E48" s="246"/>
      <c r="G48" s="8"/>
    </row>
    <row r="49" spans="1:7">
      <c r="A49"/>
      <c r="B49"/>
      <c r="C49"/>
      <c r="D49"/>
      <c r="E49"/>
      <c r="G49" s="8"/>
    </row>
    <row r="50" spans="1:7">
      <c r="A50" s="96" t="s">
        <v>27</v>
      </c>
      <c r="B50" s="96"/>
      <c r="C50" s="96"/>
      <c r="D50" s="96"/>
      <c r="E50" s="96"/>
      <c r="F50" s="96"/>
      <c r="G50" s="8"/>
    </row>
    <row r="51" spans="1:7">
      <c r="A51" s="25" t="s">
        <v>28</v>
      </c>
      <c r="B51" s="260" t="s">
        <v>29</v>
      </c>
      <c r="C51" s="25" t="s">
        <v>30</v>
      </c>
      <c r="D51" s="26"/>
      <c r="E51" s="27"/>
      <c r="F51" s="28" t="s">
        <v>31</v>
      </c>
      <c r="G51" s="8"/>
    </row>
    <row r="52" spans="1:7">
      <c r="A52" s="20" t="s">
        <v>32</v>
      </c>
      <c r="B52" s="260"/>
      <c r="C52" s="21" t="s">
        <v>33</v>
      </c>
      <c r="D52" s="20" t="s">
        <v>34</v>
      </c>
      <c r="E52" s="20" t="s">
        <v>35</v>
      </c>
      <c r="F52" s="20" t="s">
        <v>35</v>
      </c>
      <c r="G52" s="8"/>
    </row>
    <row r="53" spans="1:7">
      <c r="A53" s="22"/>
      <c r="B53" s="22" t="s">
        <v>36</v>
      </c>
      <c r="C53" s="6" t="str">
        <f>IFERROR(D53/#REF!,"-")</f>
        <v>-</v>
      </c>
      <c r="D53" s="6" t="str">
        <f>IFERROR(E53/#REF!,"-")</f>
        <v>-</v>
      </c>
      <c r="E53" s="6" t="str">
        <f>IFERROR(F53/#REF!,"-")</f>
        <v>-</v>
      </c>
      <c r="F53" s="7" t="s">
        <v>37</v>
      </c>
      <c r="G53" s="8"/>
    </row>
    <row r="54" spans="1:7">
      <c r="A54" s="22"/>
      <c r="B54" s="22" t="s">
        <v>38</v>
      </c>
      <c r="C54" s="6" t="str">
        <f>IFERROR(D54/#REF!,"-")</f>
        <v>-</v>
      </c>
      <c r="D54" s="6" t="str">
        <f>IFERROR(E54/#REF!,"-")</f>
        <v>-</v>
      </c>
      <c r="E54" s="6" t="str">
        <f>IFERROR(F54/#REF!,"-")</f>
        <v>-</v>
      </c>
      <c r="F54" s="7" t="s">
        <v>37</v>
      </c>
      <c r="G54" s="8"/>
    </row>
    <row r="55" spans="1:7">
      <c r="A55" s="22"/>
      <c r="B55" s="22" t="s">
        <v>39</v>
      </c>
      <c r="C55" s="6" t="str">
        <f>IFERROR(D55/#REF!,"-")</f>
        <v>-</v>
      </c>
      <c r="D55" s="6" t="str">
        <f>IFERROR(E55/#REF!,"-")</f>
        <v>-</v>
      </c>
      <c r="E55" s="6" t="str">
        <f>IFERROR(F55/#REF!,"-")</f>
        <v>-</v>
      </c>
      <c r="F55" s="7" t="s">
        <v>37</v>
      </c>
      <c r="G55" s="8"/>
    </row>
    <row r="56" spans="1:7">
      <c r="A56" s="22"/>
      <c r="B56" s="22" t="s">
        <v>40</v>
      </c>
      <c r="C56" s="6" t="str">
        <f>IFERROR(D56/#REF!,"-")</f>
        <v>-</v>
      </c>
      <c r="D56" s="6" t="str">
        <f>IFERROR(E56/#REF!,"-")</f>
        <v>-</v>
      </c>
      <c r="E56" s="6" t="str">
        <f>IFERROR(F56/#REF!,"-")</f>
        <v>-</v>
      </c>
      <c r="F56" s="7" t="s">
        <v>37</v>
      </c>
      <c r="G56" s="8"/>
    </row>
    <row r="57" spans="1:7">
      <c r="A57" s="22"/>
      <c r="B57" s="22" t="s">
        <v>41</v>
      </c>
      <c r="C57" s="6" t="str">
        <f>IFERROR(D57/#REF!,"-")</f>
        <v>-</v>
      </c>
      <c r="D57" s="6" t="str">
        <f>IFERROR(E57/#REF!,"-")</f>
        <v>-</v>
      </c>
      <c r="E57" s="6" t="str">
        <f>IFERROR(F57/#REF!,"-")</f>
        <v>-</v>
      </c>
      <c r="F57" s="7" t="s">
        <v>37</v>
      </c>
      <c r="G57" s="8"/>
    </row>
    <row r="58" spans="1:7">
      <c r="A58" s="22"/>
      <c r="B58" s="22" t="s">
        <v>42</v>
      </c>
      <c r="C58" s="6" t="str">
        <f>IFERROR(D58/#REF!,"-")</f>
        <v>-</v>
      </c>
      <c r="D58" s="6" t="str">
        <f>IFERROR(E58/#REF!,"-")</f>
        <v>-</v>
      </c>
      <c r="E58" s="6" t="str">
        <f>IFERROR(F58/#REF!,"-")</f>
        <v>-</v>
      </c>
      <c r="F58" s="7" t="s">
        <v>37</v>
      </c>
    </row>
    <row r="59" spans="1:7">
      <c r="A59" s="22"/>
      <c r="B59" s="22" t="s">
        <v>43</v>
      </c>
      <c r="C59" s="6" t="str">
        <f>IFERROR(D59/#REF!,"-")</f>
        <v>-</v>
      </c>
      <c r="D59" s="6" t="str">
        <f>IFERROR(E59/#REF!,"-")</f>
        <v>-</v>
      </c>
      <c r="E59" s="6" t="str">
        <f>IFERROR(F59/#REF!,"-")</f>
        <v>-</v>
      </c>
      <c r="F59" s="7" t="s">
        <v>37</v>
      </c>
      <c r="G59" s="9"/>
    </row>
    <row r="60" spans="1:7">
      <c r="A60" s="22"/>
      <c r="B60" s="22" t="s">
        <v>44</v>
      </c>
      <c r="C60" s="6" t="str">
        <f>IFERROR(D60/#REF!,"-")</f>
        <v>-</v>
      </c>
      <c r="D60" s="6" t="str">
        <f>IFERROR(E60/#REF!,"-")</f>
        <v>-</v>
      </c>
      <c r="E60" s="6" t="str">
        <f>IFERROR(F60/#REF!,"-")</f>
        <v>-</v>
      </c>
      <c r="F60" s="7" t="s">
        <v>37</v>
      </c>
    </row>
    <row r="61" spans="1:7">
      <c r="A61" s="22"/>
      <c r="B61" s="22" t="s">
        <v>45</v>
      </c>
      <c r="C61" s="6" t="str">
        <f>IFERROR(D61/#REF!,"-")</f>
        <v>-</v>
      </c>
      <c r="D61" s="6" t="str">
        <f>IFERROR(E61/#REF!,"-")</f>
        <v>-</v>
      </c>
      <c r="E61" s="6" t="str">
        <f>IFERROR(F61/#REF!,"-")</f>
        <v>-</v>
      </c>
      <c r="F61" s="7" t="s">
        <v>37</v>
      </c>
    </row>
    <row r="62" spans="1:7">
      <c r="A62" s="22"/>
      <c r="B62" s="22" t="s">
        <v>46</v>
      </c>
      <c r="C62" s="6" t="str">
        <f>IFERROR(D62/#REF!,"-")</f>
        <v>-</v>
      </c>
      <c r="D62" s="6" t="str">
        <f>IFERROR(E62/#REF!,"-")</f>
        <v>-</v>
      </c>
      <c r="E62" s="6" t="str">
        <f>IFERROR(F62/#REF!,"-")</f>
        <v>-</v>
      </c>
      <c r="F62" s="7" t="s">
        <v>37</v>
      </c>
    </row>
    <row r="63" spans="1:7">
      <c r="A63" s="22"/>
      <c r="B63" s="22" t="s">
        <v>47</v>
      </c>
      <c r="C63" s="6" t="str">
        <f>IFERROR(D63/#REF!,"-")</f>
        <v>-</v>
      </c>
      <c r="D63" s="6" t="str">
        <f>IFERROR(E63/#REF!,"-")</f>
        <v>-</v>
      </c>
      <c r="E63" s="6" t="str">
        <f>IFERROR(F63/#REF!,"-")</f>
        <v>-</v>
      </c>
      <c r="F63" s="7" t="s">
        <v>37</v>
      </c>
    </row>
    <row r="64" spans="1:7">
      <c r="A64" s="22"/>
      <c r="B64" s="22" t="s">
        <v>48</v>
      </c>
      <c r="C64" s="6" t="str">
        <f>IFERROR(D64/#REF!,"-")</f>
        <v>-</v>
      </c>
      <c r="D64" s="6" t="str">
        <f>IFERROR(E64/#REF!,"-")</f>
        <v>-</v>
      </c>
      <c r="E64" s="6" t="str">
        <f>IFERROR(F64/#REF!,"-")</f>
        <v>-</v>
      </c>
      <c r="F64" s="7" t="s">
        <v>37</v>
      </c>
    </row>
    <row r="65" spans="1:6">
      <c r="A65" s="22"/>
      <c r="B65" s="22" t="s">
        <v>49</v>
      </c>
      <c r="C65" s="6" t="str">
        <f>IFERROR(D65/#REF!,"-")</f>
        <v>-</v>
      </c>
      <c r="D65" s="6" t="str">
        <f>IFERROR(E65/#REF!,"-")</f>
        <v>-</v>
      </c>
      <c r="E65" s="6" t="str">
        <f>IFERROR(F65/#REF!,"-")</f>
        <v>-</v>
      </c>
      <c r="F65" s="7" t="s">
        <v>37</v>
      </c>
    </row>
    <row r="66" spans="1:6">
      <c r="A66" s="10"/>
      <c r="B66" s="23"/>
      <c r="C66" s="23"/>
      <c r="D66" s="23"/>
      <c r="E66" s="23"/>
    </row>
    <row r="67" spans="1:6">
      <c r="A67" s="24" t="s">
        <v>50</v>
      </c>
      <c r="B67" s="23"/>
      <c r="C67" s="23"/>
      <c r="D67" s="23"/>
      <c r="E67" s="23"/>
    </row>
    <row r="68" spans="1:6">
      <c r="A68" s="20" t="s">
        <v>51</v>
      </c>
      <c r="B68" s="23"/>
      <c r="C68" s="23"/>
      <c r="D68" s="23"/>
      <c r="E68" s="23"/>
    </row>
    <row r="69" spans="1:6">
      <c r="A69" s="11"/>
      <c r="B69" s="23"/>
      <c r="C69" s="23"/>
      <c r="D69" s="23"/>
      <c r="E69" s="23"/>
    </row>
    <row r="70" spans="1:6">
      <c r="A70" s="11"/>
      <c r="B70" s="23"/>
      <c r="C70" s="23"/>
      <c r="D70" s="23"/>
      <c r="E70" s="23"/>
    </row>
    <row r="71" spans="1:6">
      <c r="A71" s="10"/>
      <c r="B71" s="23"/>
      <c r="C71" s="23"/>
      <c r="D71" s="23"/>
      <c r="E71" s="23"/>
    </row>
    <row r="72" spans="1:6">
      <c r="A72" s="10"/>
    </row>
    <row r="73" spans="1:6">
      <c r="A73" s="10"/>
    </row>
    <row r="74" spans="1:6">
      <c r="A74" s="10"/>
    </row>
    <row r="75" spans="1:6">
      <c r="A75" s="10"/>
    </row>
    <row r="76" spans="1:6">
      <c r="A76" s="10"/>
    </row>
    <row r="77" spans="1:6">
      <c r="A77" s="10"/>
    </row>
    <row r="78" spans="1:6">
      <c r="A78" s="10"/>
    </row>
    <row r="79" spans="1:6">
      <c r="A79" s="10"/>
    </row>
    <row r="80" spans="1:6">
      <c r="A80" s="10"/>
    </row>
    <row r="81" spans="1:1">
      <c r="A81" s="10"/>
    </row>
    <row r="82" spans="1:1">
      <c r="A82" s="10"/>
    </row>
    <row r="83" spans="1:1">
      <c r="A83" s="10"/>
    </row>
    <row r="84" spans="1:1">
      <c r="A84" s="10"/>
    </row>
  </sheetData>
  <sheetProtection algorithmName="SHA-512" hashValue="yjllVr3SVemgfoOW4J+nobz5xMZqCEEAnw2nDCwiPxi33Ax62IbNn+4rfyM2yDheSfVQmtOqiQiGUmjNYsQMAQ==" saltValue="HZApDsXfGJJ9xee0TIvL6g==" spinCount="100000" sheet="1" objects="1" scenarios="1"/>
  <protectedRanges>
    <protectedRange algorithmName="SHA-512" hashValue="I+JCgGoGWPO6h0EeUZjHgBohbL47+5TVn8pBm022IuTuv1XAQ/yKFv1n9rRoctr41HZsBnW9D+cdI1IkFTy1Hg==" saltValue="Qw7OVJ1kHWM7nXRH9XX1xw==" spinCount="100000" sqref="A21:A22" name="Bereich1_1"/>
    <protectedRange algorithmName="SHA-512" hashValue="I+JCgGoGWPO6h0EeUZjHgBohbL47+5TVn8pBm022IuTuv1XAQ/yKFv1n9rRoctr41HZsBnW9D+cdI1IkFTy1Hg==" saltValue="Qw7OVJ1kHWM7nXRH9XX1xw==" spinCount="100000" sqref="A20" name="Bereich1"/>
  </protectedRanges>
  <mergeCells count="48">
    <mergeCell ref="B51:B52"/>
    <mergeCell ref="A4:E4"/>
    <mergeCell ref="B48:E48"/>
    <mergeCell ref="B9:E9"/>
    <mergeCell ref="B5:E5"/>
    <mergeCell ref="B6:E6"/>
    <mergeCell ref="B12:E12"/>
    <mergeCell ref="B10:E10"/>
    <mergeCell ref="B11:E11"/>
    <mergeCell ref="B35:E35"/>
    <mergeCell ref="B44:E44"/>
    <mergeCell ref="B43:E43"/>
    <mergeCell ref="D47:E47"/>
    <mergeCell ref="B38:E38"/>
    <mergeCell ref="D34:E34"/>
    <mergeCell ref="D33:E33"/>
    <mergeCell ref="H3:O4"/>
    <mergeCell ref="H5:O6"/>
    <mergeCell ref="H7:O8"/>
    <mergeCell ref="F28:G28"/>
    <mergeCell ref="B19:E19"/>
    <mergeCell ref="B7:E7"/>
    <mergeCell ref="F10:G11"/>
    <mergeCell ref="B18:E18"/>
    <mergeCell ref="A17:E17"/>
    <mergeCell ref="A1:E2"/>
    <mergeCell ref="B21:D21"/>
    <mergeCell ref="B22:D22"/>
    <mergeCell ref="B45:C45"/>
    <mergeCell ref="B37:E37"/>
    <mergeCell ref="A33:A34"/>
    <mergeCell ref="B39:E39"/>
    <mergeCell ref="B40:E40"/>
    <mergeCell ref="B41:E41"/>
    <mergeCell ref="B8:E8"/>
    <mergeCell ref="B42:E42"/>
    <mergeCell ref="B20:E20"/>
    <mergeCell ref="B36:E36"/>
    <mergeCell ref="D45:E45"/>
    <mergeCell ref="B24:E24"/>
    <mergeCell ref="B23:E23"/>
    <mergeCell ref="D46:E46"/>
    <mergeCell ref="B30:E30"/>
    <mergeCell ref="A29:E29"/>
    <mergeCell ref="B28:E28"/>
    <mergeCell ref="B27:E27"/>
    <mergeCell ref="B32:E32"/>
    <mergeCell ref="B31:E31"/>
  </mergeCells>
  <conditionalFormatting sqref="B47">
    <cfRule type="containsText" dxfId="23" priority="23" operator="containsText" text="please give H x W x D in comments">
      <formula>NOT(ISERROR(SEARCH("please give H x W x D in comments",B47)))</formula>
    </cfRule>
    <cfRule type="cellIs" dxfId="22" priority="27" operator="greaterThan">
      <formula>1800</formula>
    </cfRule>
  </conditionalFormatting>
  <conditionalFormatting sqref="B44:E44">
    <cfRule type="containsText" dxfId="21" priority="24" operator="containsText" text=" ">
      <formula>NOT(ISERROR(SEARCH(" ",B44)))</formula>
    </cfRule>
    <cfRule type="cellIs" dxfId="20" priority="26" operator="greaterThan">
      <formula>1000</formula>
    </cfRule>
  </conditionalFormatting>
  <conditionalFormatting sqref="E21:E22">
    <cfRule type="endsWith" dxfId="19" priority="20" operator="endsWith" text="Yes">
      <formula>RIGHT(E21,LEN("Yes"))="Yes"</formula>
    </cfRule>
    <cfRule type="endsWith" dxfId="18" priority="28" operator="endsWith" text="No">
      <formula>RIGHT(E21,LEN("No"))="No"</formula>
    </cfRule>
  </conditionalFormatting>
  <conditionalFormatting sqref="E13:E14">
    <cfRule type="containsBlanks" dxfId="17" priority="18">
      <formula>LEN(TRIM(E13))=0</formula>
    </cfRule>
  </conditionalFormatting>
  <conditionalFormatting sqref="C13:C15">
    <cfRule type="containsBlanks" dxfId="16" priority="14">
      <formula>LEN(TRIM(C13))=0</formula>
    </cfRule>
  </conditionalFormatting>
  <conditionalFormatting sqref="B7:E12">
    <cfRule type="containsBlanks" dxfId="15" priority="13">
      <formula>LEN(TRIM(B7))=0</formula>
    </cfRule>
  </conditionalFormatting>
  <conditionalFormatting sqref="B19">
    <cfRule type="containsBlanks" dxfId="14" priority="12">
      <formula>LEN(TRIM(B19))=0</formula>
    </cfRule>
  </conditionalFormatting>
  <conditionalFormatting sqref="B23:E24">
    <cfRule type="containsBlanks" dxfId="13" priority="10">
      <formula>LEN(TRIM(B23))=0</formula>
    </cfRule>
  </conditionalFormatting>
  <conditionalFormatting sqref="B28">
    <cfRule type="containsBlanks" dxfId="12" priority="9">
      <formula>LEN(TRIM(B28))=0</formula>
    </cfRule>
  </conditionalFormatting>
  <conditionalFormatting sqref="C16">
    <cfRule type="containsBlanks" dxfId="11" priority="2">
      <formula>LEN(TRIM(C16))=0</formula>
    </cfRule>
  </conditionalFormatting>
  <conditionalFormatting sqref="E15:E16">
    <cfRule type="containsBlanks" dxfId="10" priority="1">
      <formula>LEN(TRIM(E15))=0</formula>
    </cfRule>
  </conditionalFormatting>
  <dataValidations count="4">
    <dataValidation type="list" allowBlank="1" showInputMessage="1" showErrorMessage="1" sqref="B23:E23" xr:uid="{00000000-0002-0000-0100-000000000000}">
      <formula1>"none, Armstrongs, 2XL, Boughey, STL, Lanchester (Alcohol), Dachser (Alcohol), CML (Chilled), EV Cargo Log. (Chilled), Oakland Int. (Chilled), Gist (Chilled), Lineage (Frozen), McBurney Ireland Solut. (Frozen), Cold Move (Frozen), Reed Boardal (Frozen),"</formula1>
    </dataValidation>
    <dataValidation type="list" allowBlank="1" showInputMessage="1" showErrorMessage="1" sqref="B7" xr:uid="{00000000-0002-0000-0100-000001000000}">
      <formula1>"Core Range, Seasonal, Special"</formula1>
    </dataValidation>
    <dataValidation type="list" showInputMessage="1" showErrorMessage="1" sqref="E22" xr:uid="{06D53A31-9B71-48DD-9CC2-7D3A33201889}">
      <formula1>"&lt;Please select&gt;, No, Yes"</formula1>
    </dataValidation>
    <dataValidation type="list" showInputMessage="1" showErrorMessage="1" promptTitle="&lt;Please select&gt;" sqref="E21" xr:uid="{628C0FB2-7A71-46EC-9FD1-23172F94A3D7}">
      <formula1>"&lt;Please select&gt;, No, Yes"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Check Box 15">
              <controlPr defaultSize="0" autoFill="0" autoLine="0" autoPict="0">
                <anchor moveWithCells="1">
                  <from>
                    <xdr:col>3</xdr:col>
                    <xdr:colOff>12700</xdr:colOff>
                    <xdr:row>43</xdr:row>
                    <xdr:rowOff>165100</xdr:rowOff>
                  </from>
                  <to>
                    <xdr:col>3</xdr:col>
                    <xdr:colOff>279400</xdr:colOff>
                    <xdr:row>45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5"/>
  </sheetPr>
  <dimension ref="A1:K36"/>
  <sheetViews>
    <sheetView showGridLines="0" zoomScale="85" zoomScaleNormal="85" workbookViewId="0">
      <selection activeCell="G18" sqref="G18"/>
    </sheetView>
  </sheetViews>
  <sheetFormatPr baseColWidth="10" defaultColWidth="11.5" defaultRowHeight="15"/>
  <cols>
    <col min="1" max="1" width="46" style="1" customWidth="1"/>
    <col min="2" max="3" width="25.83203125" style="1" customWidth="1"/>
    <col min="4" max="4" width="19" style="1" bestFit="1" customWidth="1"/>
    <col min="5" max="5" width="11" style="1" bestFit="1" customWidth="1"/>
    <col min="6" max="6" width="11.5" style="1" customWidth="1"/>
    <col min="7" max="7" width="76.1640625" style="1" bestFit="1" customWidth="1"/>
    <col min="8" max="16384" width="11.5" style="1"/>
  </cols>
  <sheetData>
    <row r="1" spans="1:11" ht="15" customHeight="1">
      <c r="A1" s="264" t="s">
        <v>184</v>
      </c>
      <c r="B1" s="265"/>
      <c r="C1" s="265"/>
      <c r="D1" s="265"/>
      <c r="E1" s="265"/>
    </row>
    <row r="2" spans="1:11" ht="33.75" customHeight="1">
      <c r="A2" s="264"/>
      <c r="B2" s="265"/>
      <c r="C2" s="265"/>
      <c r="D2" s="265"/>
      <c r="E2" s="265"/>
    </row>
    <row r="3" spans="1:11" s="12" customFormat="1" ht="7.5" customHeight="1">
      <c r="A3" s="98"/>
      <c r="B3" s="98"/>
      <c r="C3" s="98"/>
      <c r="D3" s="98"/>
      <c r="E3" s="98"/>
      <c r="G3" s="1"/>
      <c r="H3" s="1"/>
      <c r="I3" s="1"/>
      <c r="J3" s="1"/>
    </row>
    <row r="4" spans="1:11" ht="23.25" customHeight="1">
      <c r="A4" s="187" t="s">
        <v>15</v>
      </c>
      <c r="B4" s="188"/>
      <c r="C4" s="188"/>
      <c r="D4" s="188"/>
      <c r="E4" s="188"/>
      <c r="G4" s="254" t="s">
        <v>81</v>
      </c>
      <c r="H4" s="254"/>
      <c r="I4" s="254"/>
      <c r="J4" s="254"/>
    </row>
    <row r="5" spans="1:11" ht="15.75" customHeight="1">
      <c r="A5" s="99" t="s">
        <v>3</v>
      </c>
      <c r="B5" s="243" t="str">
        <f>IF(VLOOKUP(AUS_FG!A5,'Basic Info'!A:F,2,0)=0," ",(VLOOKUP(AUS_FG!A5,'Basic Info'!A:F,2,0)))</f>
        <v>A2V Trade ltd</v>
      </c>
      <c r="C5" s="243"/>
      <c r="D5" s="243"/>
      <c r="E5" s="243"/>
      <c r="G5" s="254"/>
      <c r="H5" s="254"/>
      <c r="I5" s="254"/>
      <c r="J5" s="254"/>
    </row>
    <row r="6" spans="1:11" ht="31.5" customHeight="1">
      <c r="A6" s="105" t="s">
        <v>166</v>
      </c>
      <c r="B6" s="243" t="str">
        <f>IF(VLOOKUP(AUS_FG!A6,'Basic Info'!A:F,2,0)=0," ",(VLOOKUP(AUS_FG!A6,'Basic Info'!A:F,2,0)))</f>
        <v>logistics@a2v.com</v>
      </c>
      <c r="C6" s="243"/>
      <c r="D6" s="243"/>
      <c r="E6" s="243"/>
      <c r="G6" s="117" t="s">
        <v>181</v>
      </c>
      <c r="H6" s="117"/>
      <c r="I6" s="117"/>
      <c r="J6" s="117"/>
    </row>
    <row r="7" spans="1:11" ht="16">
      <c r="A7" s="99" t="s">
        <v>1</v>
      </c>
      <c r="B7" s="243" t="str">
        <f>IF(VLOOKUP(AUS_FG!A7,'Basic Info'!A:F,2,0)=0," ",(VLOOKUP(AUS_FG!A7,'Basic Info'!A:F,2,0)))</f>
        <v>Heavy Duty Tape Dispenser</v>
      </c>
      <c r="C7" s="243"/>
      <c r="D7" s="243"/>
      <c r="E7" s="243"/>
      <c r="G7" s="118" t="s">
        <v>97</v>
      </c>
      <c r="H7" s="117"/>
      <c r="I7" s="117"/>
      <c r="J7" s="117"/>
    </row>
    <row r="8" spans="1:11" ht="16">
      <c r="A8" s="99" t="s">
        <v>2</v>
      </c>
      <c r="B8" s="243" t="str">
        <f>IF(VLOOKUP(AUS_FG!A8,'Basic Info'!A:F,2,0)=0," ",(VLOOKUP(AUS_FG!A8,'Basic Info'!A:F,2,0)))</f>
        <v>/</v>
      </c>
      <c r="C8" s="243"/>
      <c r="D8" s="243"/>
      <c r="E8" s="243"/>
      <c r="G8" s="118"/>
      <c r="H8" s="117"/>
      <c r="I8" s="117"/>
      <c r="J8" s="117"/>
    </row>
    <row r="9" spans="1:11" ht="16">
      <c r="A9" s="99" t="s">
        <v>165</v>
      </c>
      <c r="B9" s="259"/>
      <c r="C9" s="259"/>
      <c r="D9" s="259"/>
      <c r="E9" s="259"/>
      <c r="H9" s="117"/>
      <c r="I9" s="117"/>
      <c r="J9" s="117"/>
    </row>
    <row r="10" spans="1:11" ht="16">
      <c r="A10" s="99" t="s">
        <v>83</v>
      </c>
      <c r="B10" s="266"/>
      <c r="C10" s="266"/>
      <c r="D10" s="266"/>
      <c r="E10" s="266"/>
      <c r="H10" s="117"/>
      <c r="I10" s="117"/>
      <c r="J10" s="117"/>
    </row>
    <row r="11" spans="1:11" ht="16">
      <c r="A11" s="99" t="s">
        <v>176</v>
      </c>
      <c r="B11" s="266"/>
      <c r="C11" s="266"/>
      <c r="D11" s="266"/>
      <c r="E11" s="266"/>
    </row>
    <row r="12" spans="1:11" ht="16">
      <c r="A12" s="99" t="s">
        <v>211</v>
      </c>
      <c r="B12" s="272"/>
      <c r="C12" s="272"/>
      <c r="D12" s="272"/>
      <c r="E12" s="272"/>
    </row>
    <row r="13" spans="1:11" ht="16">
      <c r="A13" s="99" t="s">
        <v>167</v>
      </c>
      <c r="B13" s="243" t="str">
        <f>IF(VLOOKUP(AUS_FG!A13,'Basic Info'!A:F,2,0)=0," ",(VLOOKUP(AUS_FG!A13,'Basic Info'!A:F,2,0)))</f>
        <v>No</v>
      </c>
      <c r="C13" s="243"/>
      <c r="D13" s="243"/>
      <c r="E13" s="243"/>
    </row>
    <row r="14" spans="1:11" ht="16">
      <c r="A14" s="99" t="s">
        <v>16</v>
      </c>
      <c r="B14" s="259"/>
      <c r="C14" s="259"/>
      <c r="D14" s="259"/>
      <c r="E14" s="259"/>
    </row>
    <row r="15" spans="1:11" ht="18">
      <c r="A15" s="187" t="s">
        <v>22</v>
      </c>
      <c r="B15" s="188"/>
      <c r="C15" s="188"/>
      <c r="D15" s="188"/>
      <c r="E15" s="188"/>
      <c r="J15" s="3"/>
      <c r="K15" s="3"/>
    </row>
    <row r="16" spans="1:11" ht="16">
      <c r="A16" s="101"/>
      <c r="B16" s="111" t="s">
        <v>70</v>
      </c>
      <c r="C16" s="111" t="s">
        <v>71</v>
      </c>
      <c r="D16" s="227" t="s">
        <v>72</v>
      </c>
      <c r="E16" s="228"/>
      <c r="J16" s="2"/>
      <c r="K16" s="2"/>
    </row>
    <row r="17" spans="1:5" ht="16">
      <c r="A17" s="102" t="s">
        <v>53</v>
      </c>
      <c r="B17" s="162">
        <f>IF(VLOOKUP(LEFT(A17,16),'Basic Info'!A:B,2,0)=0," ",(VLOOKUP(LEFT(A17,16),'Basic Info'!A:B,2,0)))</f>
        <v>380</v>
      </c>
      <c r="C17" s="162">
        <f>IF(VLOOKUP(LEFT(A17,16),'Basic Info'!A:C,3,0)=0," ",(VLOOKUP(LEFT(A17,16),'Basic Info'!A:C,3,0)))</f>
        <v>230</v>
      </c>
      <c r="D17" s="229">
        <f>IF(VLOOKUP(LEFT(A17,16),'Basic Info'!A:D,4,0)=0," ",(VLOOKUP(LEFT(A17,16),'Basic Info'!A:D,4,0)))</f>
        <v>460</v>
      </c>
      <c r="E17" s="231"/>
    </row>
    <row r="18" spans="1:5" ht="16">
      <c r="A18" s="100" t="s">
        <v>52</v>
      </c>
      <c r="B18" s="267">
        <f>IF(VLOOKUP(A18,'Basic Info'!A:F,2,0)=0," ",VLOOKUP(A18,'Basic Info'!A:F,2,0))</f>
        <v>21.7</v>
      </c>
      <c r="C18" s="267"/>
      <c r="D18" s="267"/>
      <c r="E18" s="267"/>
    </row>
    <row r="19" spans="1:5" ht="16">
      <c r="A19" s="99" t="s">
        <v>24</v>
      </c>
      <c r="B19" s="267">
        <f>IF(VLOOKUP(A19,'Basic Info'!A:F,2,0)=0," ",(VLOOKUP(A19,'Basic Info'!A:F,2,0)))</f>
        <v>16</v>
      </c>
      <c r="C19" s="267"/>
      <c r="D19" s="267"/>
      <c r="E19" s="267"/>
    </row>
    <row r="20" spans="1:5" ht="16">
      <c r="A20" s="99" t="s">
        <v>8</v>
      </c>
      <c r="B20" s="243" t="str">
        <f>IF(VLOOKUP(A20,'Basic Info'!A:F,2,0)=0," ",VLOOKUP(A20,'Basic Info'!A:F,2,0))</f>
        <v xml:space="preserve"> </v>
      </c>
      <c r="C20" s="243"/>
      <c r="D20" s="243"/>
      <c r="E20" s="243"/>
    </row>
    <row r="21" spans="1:5" ht="15" customHeight="1">
      <c r="A21" s="99" t="s">
        <v>54</v>
      </c>
      <c r="B21" s="243" t="str">
        <f>IF(VLOOKUP(A21,'Basic Info'!A:F,2,0)=0," ",(VLOOKUP(A21,'Basic Info'!A:F,2,0)))</f>
        <v>Ambient</v>
      </c>
      <c r="C21" s="243"/>
      <c r="D21" s="243"/>
      <c r="E21" s="243"/>
    </row>
    <row r="22" spans="1:5" ht="15" customHeight="1">
      <c r="A22" s="100" t="s">
        <v>197</v>
      </c>
      <c r="B22" s="259"/>
      <c r="C22" s="259"/>
      <c r="D22" s="259"/>
      <c r="E22" s="259"/>
    </row>
    <row r="23" spans="1:5" ht="15" customHeight="1">
      <c r="A23" s="100" t="s">
        <v>196</v>
      </c>
      <c r="B23" s="259"/>
      <c r="C23" s="259"/>
      <c r="D23" s="259"/>
      <c r="E23" s="259"/>
    </row>
    <row r="24" spans="1:5" ht="15" customHeight="1">
      <c r="A24" s="101"/>
      <c r="B24" s="111" t="s">
        <v>73</v>
      </c>
      <c r="C24" s="111" t="s">
        <v>74</v>
      </c>
      <c r="D24" s="111" t="s">
        <v>75</v>
      </c>
      <c r="E24" s="111" t="s">
        <v>80</v>
      </c>
    </row>
    <row r="25" spans="1:5" ht="15" customHeight="1">
      <c r="A25" s="102" t="s">
        <v>57</v>
      </c>
      <c r="B25" s="110" t="str">
        <f>IF(VLOOKUP(LEFT(A25,16),'Basic Info'!A:F,2,0)=0," ",(VLOOKUP(LEFT(A25,16),'Basic Info'!A:F,2,0)))</f>
        <v>/</v>
      </c>
      <c r="C25" s="110" t="str">
        <f>IF(VLOOKUP(LEFT(A25,16),'Basic Info'!A:F,3,0)=0," ",(VLOOKUP(LEFT(A25,16),'Basic Info'!A:F,3,0)))</f>
        <v>/</v>
      </c>
      <c r="D25" s="110" t="str">
        <f>IF(VLOOKUP(LEFT(A25,16),'Basic Info'!A:F,4,0)=0," ",(VLOOKUP(LEFT(A25,16),'Basic Info'!A:F,4,0)))</f>
        <v>/</v>
      </c>
      <c r="E25" s="110" t="str">
        <f>IF(VLOOKUP(LEFT(A25,16),'Basic Info'!A:G,5,0)=0," ",(VLOOKUP(LEFT(A25,16),'Basic Info'!A:G,5,0)))</f>
        <v>/</v>
      </c>
    </row>
    <row r="26" spans="1:5" ht="15" customHeight="1">
      <c r="A26" s="99" t="s">
        <v>169</v>
      </c>
      <c r="B26" s="259"/>
      <c r="C26" s="259"/>
      <c r="D26" s="259"/>
      <c r="E26" s="259"/>
    </row>
    <row r="27" spans="1:5" ht="18">
      <c r="A27" s="232" t="s">
        <v>82</v>
      </c>
      <c r="B27" s="233"/>
      <c r="C27" s="233"/>
      <c r="D27" s="233"/>
      <c r="E27" s="233"/>
    </row>
    <row r="28" spans="1:5" ht="16">
      <c r="A28" s="99" t="s">
        <v>10</v>
      </c>
      <c r="B28" s="268" t="str">
        <f>IF(VLOOKUP(A28,'Basic Info'!A:F,2,0)=0," ",(VLOOKUP(A28,'Basic Info'!A:F,2,0)))</f>
        <v xml:space="preserve"> </v>
      </c>
      <c r="C28" s="268"/>
      <c r="D28" s="268"/>
      <c r="E28" s="268"/>
    </row>
    <row r="29" spans="1:5" ht="16">
      <c r="A29" s="99" t="s">
        <v>13</v>
      </c>
      <c r="B29" s="269" t="str">
        <f>IF(VLOOKUP(A29,'Basic Info'!A:F,2,0)=0," ",(VLOOKUP(A29,'Basic Info'!A:F,2,0)))</f>
        <v xml:space="preserve"> </v>
      </c>
      <c r="C29" s="269"/>
      <c r="D29" s="269"/>
      <c r="E29" s="269"/>
    </row>
    <row r="30" spans="1:5" ht="16">
      <c r="A30" s="99" t="s">
        <v>120</v>
      </c>
      <c r="B30" s="269" t="str">
        <f>IF(VLOOKUP(A30,'Basic Info'!A:F,2,0)=0," ",(VLOOKUP(A30,'Basic Info'!A:F,2,0)))</f>
        <v xml:space="preserve"> </v>
      </c>
      <c r="C30" s="269"/>
      <c r="D30" s="269"/>
      <c r="E30" s="269"/>
    </row>
    <row r="31" spans="1:5" ht="16">
      <c r="A31" s="99" t="s">
        <v>23</v>
      </c>
      <c r="B31" s="269" t="e">
        <f>IF(B18=" "," ",B28*B18+25)</f>
        <v>#VALUE!</v>
      </c>
      <c r="C31" s="269"/>
      <c r="D31" s="269"/>
      <c r="E31" s="269"/>
    </row>
    <row r="32" spans="1:5" ht="16">
      <c r="A32" s="101"/>
      <c r="B32" s="19" t="s">
        <v>70</v>
      </c>
      <c r="C32" s="19" t="s">
        <v>71</v>
      </c>
      <c r="D32" s="270" t="s">
        <v>72</v>
      </c>
      <c r="E32" s="271"/>
    </row>
    <row r="33" spans="1:5" ht="16">
      <c r="A33" s="115" t="s">
        <v>79</v>
      </c>
      <c r="B33" s="110" t="str">
        <f>IF(VLOOKUP(LEFT(A33,16),'Basic Info'!A:F,2,0)=0," ",(VLOOKUP(LEFT(A33,16),'Basic Info'!A:F,2,0)))</f>
        <v>please give H x W x D in comments</v>
      </c>
      <c r="C33" s="109" t="str">
        <f>IF(VLOOKUP(LEFT(A33,16),'Basic Info'!A:C,3,0)=0," ",(VLOOKUP(LEFT(A33,16),'Basic Info'!A:C,3,0)))</f>
        <v>please give H x W x D in comments</v>
      </c>
      <c r="D33" s="237" t="str">
        <f>IF(VLOOKUP(LEFT(A33,16),'Basic Info'!A:D,4,0)=0," ",(VLOOKUP(LEFT(A33,16),'Basic Info'!A:D,4,0)))</f>
        <v>please give H x W x D in comments</v>
      </c>
      <c r="E33" s="239"/>
    </row>
    <row r="36" spans="1:5">
      <c r="E36" s="16"/>
    </row>
  </sheetData>
  <sheetProtection algorithmName="SHA-512" hashValue="qk6hEZEPe9RrFOn0aR39mv5/LFLKmhtUMPcDaR/nFyncDrXy3kwcz1Dq5YK3jC5QLg2BnWFuBE4CCRjvBYV8/A==" saltValue="pcGpFAbAP3ese8Zi+Je1Ow==" spinCount="100000" sheet="1" objects="1" scenarios="1"/>
  <protectedRanges>
    <protectedRange algorithmName="SHA-512" hashValue="I+JCgGoGWPO6h0EeUZjHgBohbL47+5TVn8pBm022IuTuv1XAQ/yKFv1n9rRoctr41HZsBnW9D+cdI1IkFTy1Hg==" saltValue="Qw7OVJ1kHWM7nXRH9XX1xw==" spinCount="100000" sqref="A6" name="Bereich1_1"/>
    <protectedRange algorithmName="SHA-512" hashValue="I+JCgGoGWPO6h0EeUZjHgBohbL47+5TVn8pBm022IuTuv1XAQ/yKFv1n9rRoctr41HZsBnW9D+cdI1IkFTy1Hg==" saltValue="Qw7OVJ1kHWM7nXRH9XX1xw==" spinCount="100000" sqref="A13" name="Bereich1"/>
  </protectedRanges>
  <mergeCells count="30">
    <mergeCell ref="B26:E26"/>
    <mergeCell ref="G4:J5"/>
    <mergeCell ref="B13:E13"/>
    <mergeCell ref="A15:E15"/>
    <mergeCell ref="A4:E4"/>
    <mergeCell ref="B5:E5"/>
    <mergeCell ref="B8:E8"/>
    <mergeCell ref="B7:E7"/>
    <mergeCell ref="B6:E6"/>
    <mergeCell ref="B9:E9"/>
    <mergeCell ref="B10:E10"/>
    <mergeCell ref="B22:E22"/>
    <mergeCell ref="B23:E23"/>
    <mergeCell ref="B12:E12"/>
    <mergeCell ref="A27:E27"/>
    <mergeCell ref="A1:E2"/>
    <mergeCell ref="B11:E11"/>
    <mergeCell ref="D33:E33"/>
    <mergeCell ref="B14:E14"/>
    <mergeCell ref="B18:E18"/>
    <mergeCell ref="B19:E19"/>
    <mergeCell ref="B20:E20"/>
    <mergeCell ref="B21:E21"/>
    <mergeCell ref="B28:E28"/>
    <mergeCell ref="B29:E29"/>
    <mergeCell ref="D32:E32"/>
    <mergeCell ref="D16:E16"/>
    <mergeCell ref="D17:E17"/>
    <mergeCell ref="B31:E31"/>
    <mergeCell ref="B30:E30"/>
  </mergeCells>
  <conditionalFormatting sqref="B33">
    <cfRule type="cellIs" dxfId="9" priority="2" operator="greaterThan">
      <formula>1800</formula>
    </cfRule>
  </conditionalFormatting>
  <conditionalFormatting sqref="B9:E12 B14 B22:E23 B26">
    <cfRule type="containsBlanks" dxfId="8" priority="1">
      <formula>LEN(TRIM(B9))=0</formula>
    </cfRule>
  </conditionalFormatting>
  <dataValidations count="1">
    <dataValidation type="list" allowBlank="1" showInputMessage="1" showErrorMessage="1" sqref="B9" xr:uid="{00000000-0002-0000-0200-000000000000}">
      <formula1>"Core Range, Seasonal, Special"</formula1>
    </dataValidation>
  </dataValidations>
  <pageMargins left="0.7" right="0.7" top="0.78740157499999996" bottom="0.78740157499999996" header="0.3" footer="0.3"/>
  <pageSetup orientation="portrait" r:id="rId1"/>
  <ignoredErrors>
    <ignoredError sqref="B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7" tint="0.59999389629810485"/>
  </sheetPr>
  <dimension ref="A1:P57"/>
  <sheetViews>
    <sheetView showGridLines="0" zoomScale="85" zoomScaleNormal="85" workbookViewId="0">
      <selection activeCell="G18" sqref="G18"/>
    </sheetView>
  </sheetViews>
  <sheetFormatPr baseColWidth="10" defaultColWidth="11.5" defaultRowHeight="15"/>
  <cols>
    <col min="1" max="1" width="63.6640625" style="1" customWidth="1"/>
    <col min="2" max="2" width="27.1640625" style="1" bestFit="1" customWidth="1"/>
    <col min="3" max="3" width="21.83203125" style="1" bestFit="1" customWidth="1"/>
    <col min="4" max="4" width="19" style="1" bestFit="1" customWidth="1"/>
    <col min="5" max="5" width="13" style="1" customWidth="1"/>
    <col min="6" max="6" width="19.33203125" style="1" customWidth="1"/>
    <col min="7" max="7" width="5.6640625" style="1" bestFit="1" customWidth="1"/>
    <col min="8" max="8" width="9.1640625" style="2" customWidth="1"/>
    <col min="9" max="10" width="10.33203125" style="2"/>
    <col min="11" max="16" width="11.5" style="2"/>
    <col min="17" max="16384" width="11.5" style="1"/>
  </cols>
  <sheetData>
    <row r="1" spans="1:16" ht="20.25" customHeight="1">
      <c r="A1" s="240" t="s">
        <v>185</v>
      </c>
      <c r="B1" s="240"/>
      <c r="C1" s="240"/>
      <c r="D1" s="240"/>
      <c r="E1" s="240"/>
    </row>
    <row r="2" spans="1:16" ht="33.75" customHeight="1">
      <c r="A2" s="240"/>
      <c r="B2" s="240"/>
      <c r="C2" s="240"/>
      <c r="D2" s="240"/>
      <c r="E2" s="240"/>
    </row>
    <row r="3" spans="1:16" s="12" customFormat="1" ht="7.5" customHeight="1" thickBot="1">
      <c r="A3" s="98"/>
      <c r="B3" s="98"/>
      <c r="C3" s="98"/>
      <c r="D3" s="98"/>
      <c r="E3" s="98"/>
      <c r="G3" s="1"/>
      <c r="H3" s="254" t="s">
        <v>81</v>
      </c>
      <c r="I3" s="254"/>
      <c r="J3" s="254"/>
      <c r="K3" s="254"/>
      <c r="L3" s="254"/>
      <c r="M3" s="254"/>
      <c r="N3" s="254"/>
      <c r="O3" s="254"/>
    </row>
    <row r="4" spans="1:16" ht="23.25" customHeight="1">
      <c r="A4" s="187" t="s">
        <v>15</v>
      </c>
      <c r="B4" s="273"/>
      <c r="C4" s="273"/>
      <c r="D4" s="273"/>
      <c r="E4" s="273"/>
      <c r="H4" s="254"/>
      <c r="I4" s="254"/>
      <c r="J4" s="254"/>
      <c r="K4" s="254"/>
      <c r="L4" s="254"/>
      <c r="M4" s="254"/>
      <c r="N4" s="254"/>
      <c r="O4" s="254"/>
      <c r="P4" s="3"/>
    </row>
    <row r="5" spans="1:16" ht="15" customHeight="1">
      <c r="A5" s="99" t="s">
        <v>3</v>
      </c>
      <c r="B5" s="243" t="str">
        <f>IF(VLOOKUP(A5,'Basic Info'!A:F,2,0)=0," ",(VLOOKUP(A5,'Basic Info'!A:F,2,0)))</f>
        <v>A2V Trade ltd</v>
      </c>
      <c r="C5" s="243"/>
      <c r="D5" s="243"/>
      <c r="E5" s="243"/>
      <c r="F5" s="92"/>
      <c r="H5" s="255" t="s">
        <v>181</v>
      </c>
      <c r="I5" s="255"/>
      <c r="J5" s="255"/>
      <c r="K5" s="255"/>
      <c r="L5" s="255"/>
      <c r="M5" s="255"/>
      <c r="N5" s="255"/>
      <c r="O5" s="255"/>
      <c r="P5" s="3"/>
    </row>
    <row r="6" spans="1:16" ht="14.25" customHeight="1">
      <c r="A6" s="99" t="s">
        <v>166</v>
      </c>
      <c r="B6" s="243" t="str">
        <f>IF(VLOOKUP(A6,'Basic Info'!A:F,2,0)=0," ",(VLOOKUP(A6,'Basic Info'!A:F,2,0)))</f>
        <v>logistics@a2v.com</v>
      </c>
      <c r="C6" s="243"/>
      <c r="D6" s="243"/>
      <c r="E6" s="243"/>
      <c r="F6" s="92"/>
      <c r="H6" s="255"/>
      <c r="I6" s="255"/>
      <c r="J6" s="255"/>
      <c r="K6" s="255"/>
      <c r="L6" s="255"/>
      <c r="M6" s="255"/>
      <c r="N6" s="255"/>
      <c r="O6" s="255"/>
      <c r="P6" s="3"/>
    </row>
    <row r="7" spans="1:16" ht="14.25" customHeight="1">
      <c r="A7" s="99" t="s">
        <v>1</v>
      </c>
      <c r="B7" s="243" t="str">
        <f>IF(VLOOKUP(A7,'Basic Info'!A:F,2,0)=0," ",(VLOOKUP(A7,'Basic Info'!A:F,2,0)))</f>
        <v>Heavy Duty Tape Dispenser</v>
      </c>
      <c r="C7" s="243"/>
      <c r="D7" s="243"/>
      <c r="E7" s="243"/>
      <c r="F7" s="92"/>
      <c r="H7" s="256" t="s">
        <v>97</v>
      </c>
      <c r="I7" s="256"/>
      <c r="J7" s="256"/>
      <c r="K7" s="256"/>
      <c r="L7" s="256"/>
      <c r="M7" s="256"/>
      <c r="N7" s="256"/>
      <c r="O7" s="256"/>
      <c r="P7" s="3"/>
    </row>
    <row r="8" spans="1:16" ht="14.25" customHeight="1">
      <c r="A8" s="99" t="s">
        <v>165</v>
      </c>
      <c r="B8" s="259"/>
      <c r="C8" s="259"/>
      <c r="D8" s="259"/>
      <c r="E8" s="259"/>
      <c r="F8" s="93"/>
      <c r="H8" s="256"/>
      <c r="I8" s="256"/>
      <c r="J8" s="256"/>
      <c r="K8" s="256"/>
      <c r="L8" s="256"/>
      <c r="M8" s="256"/>
      <c r="N8" s="256"/>
      <c r="O8" s="256"/>
      <c r="P8" s="3"/>
    </row>
    <row r="9" spans="1:16" ht="14.25" customHeight="1">
      <c r="A9" s="99" t="s">
        <v>205</v>
      </c>
      <c r="B9" s="249"/>
      <c r="C9" s="250"/>
      <c r="D9" s="250"/>
      <c r="E9" s="251"/>
      <c r="F9" s="93"/>
      <c r="H9" s="3"/>
      <c r="I9" s="3"/>
      <c r="J9" s="3"/>
      <c r="K9" s="3"/>
      <c r="L9" s="3"/>
      <c r="M9" s="3"/>
      <c r="N9" s="3"/>
      <c r="O9" s="3"/>
      <c r="P9" s="3"/>
    </row>
    <row r="10" spans="1:16" ht="44.25" customHeight="1">
      <c r="A10" s="99" t="s">
        <v>170</v>
      </c>
      <c r="B10" s="259"/>
      <c r="C10" s="259"/>
      <c r="D10" s="259"/>
      <c r="E10" s="259"/>
      <c r="F10" s="169" t="s">
        <v>218</v>
      </c>
      <c r="G10" s="2"/>
      <c r="M10" s="3"/>
      <c r="N10" s="3"/>
      <c r="O10" s="3"/>
      <c r="P10" s="3"/>
    </row>
    <row r="11" spans="1:16" ht="16">
      <c r="A11" s="99" t="s">
        <v>211</v>
      </c>
      <c r="B11" s="272"/>
      <c r="C11" s="272"/>
      <c r="D11" s="272"/>
      <c r="E11" s="272"/>
      <c r="F11" s="168"/>
      <c r="G11" s="2"/>
      <c r="M11" s="3"/>
      <c r="N11" s="3"/>
      <c r="O11" s="3"/>
      <c r="P11" s="3"/>
    </row>
    <row r="12" spans="1:16" ht="16">
      <c r="A12" s="99" t="s">
        <v>60</v>
      </c>
      <c r="B12" s="243" t="str">
        <f>IF(VLOOKUP(RIGHT(A12,12),'Basic Info'!A:F,2,0)=0," ",(VLOOKUP(RIGHT(A12,12),'Basic Info'!A:F,2,0)))</f>
        <v>/</v>
      </c>
      <c r="C12" s="243"/>
      <c r="D12" s="243"/>
      <c r="E12" s="243"/>
      <c r="F12" s="168"/>
      <c r="G12" s="2"/>
      <c r="M12" s="3"/>
      <c r="N12" s="3"/>
      <c r="O12" s="3"/>
      <c r="P12" s="3"/>
    </row>
    <row r="13" spans="1:16" ht="15" customHeight="1">
      <c r="A13" s="99" t="s">
        <v>167</v>
      </c>
      <c r="B13" s="243" t="str">
        <f>IF(VLOOKUP(A13,'Basic Info'!A:F,2,0)=0," ",(VLOOKUP(A13,'Basic Info'!A:F,2,0)))</f>
        <v>No</v>
      </c>
      <c r="C13" s="243"/>
      <c r="D13" s="243"/>
      <c r="E13" s="243"/>
      <c r="F13" s="168"/>
      <c r="G13" s="2"/>
    </row>
    <row r="14" spans="1:16" ht="15" customHeight="1" thickBot="1">
      <c r="A14" s="99" t="s">
        <v>16</v>
      </c>
      <c r="B14" s="259"/>
      <c r="C14" s="259"/>
      <c r="D14" s="259"/>
      <c r="E14" s="259"/>
      <c r="F14" s="168"/>
      <c r="G14" s="2"/>
    </row>
    <row r="15" spans="1:16" ht="15" customHeight="1">
      <c r="A15" s="187" t="s">
        <v>22</v>
      </c>
      <c r="B15" s="273"/>
      <c r="C15" s="273"/>
      <c r="D15" s="273"/>
      <c r="E15" s="273"/>
      <c r="F15" s="168"/>
      <c r="G15" s="2"/>
    </row>
    <row r="16" spans="1:16" ht="15.75" customHeight="1">
      <c r="A16" s="99" t="s">
        <v>176</v>
      </c>
      <c r="B16" s="266"/>
      <c r="C16" s="266"/>
      <c r="D16" s="266"/>
      <c r="E16" s="266"/>
      <c r="F16" s="168"/>
      <c r="G16" s="2"/>
    </row>
    <row r="17" spans="1:16" ht="15.75" customHeight="1">
      <c r="A17" s="99" t="s">
        <v>177</v>
      </c>
      <c r="B17" s="266"/>
      <c r="C17" s="266"/>
      <c r="D17" s="266"/>
      <c r="E17" s="266"/>
      <c r="F17" s="94"/>
      <c r="G17" s="2"/>
    </row>
    <row r="18" spans="1:16" ht="15.75" customHeight="1">
      <c r="A18" s="99" t="s">
        <v>178</v>
      </c>
      <c r="B18" s="266"/>
      <c r="C18" s="266"/>
      <c r="D18" s="266"/>
      <c r="E18" s="266"/>
      <c r="F18" s="94"/>
      <c r="G18" s="94"/>
      <c r="H18" s="94"/>
      <c r="I18" s="94"/>
      <c r="J18" s="3"/>
      <c r="K18" s="3"/>
      <c r="L18" s="3"/>
      <c r="M18" s="3"/>
      <c r="N18" s="3"/>
      <c r="O18" s="3"/>
      <c r="P18" s="3"/>
    </row>
    <row r="19" spans="1:16" ht="15.75" customHeight="1">
      <c r="A19" s="99" t="s">
        <v>174</v>
      </c>
      <c r="B19" s="243" t="str">
        <f>IF(AND(B16&gt;0,B17=0,B18=0),"DDP",IF(AND(B17&gt;0,B18=0,B16= 0),"EXW",IF(AND(B17=0,B16=0,B18&gt;0),"FOB",IF(AND(B16&gt;0,B17&gt;0,B18=0),"DDP / EXW",IF(AND(B17&gt;0,B18&gt;0,B16=0),"EXW / FOB",IF(AND(B16&gt;0,B18&gt;0,B17=0),"DDP / FOB",IF(AND(B16&gt;0,B17&gt;0,B18&gt;0),"DDP / EXW / FOB",IF(AND(B18=" ",B16=" ",B17=" ")," "," "))))))))</f>
        <v xml:space="preserve"> </v>
      </c>
      <c r="C19" s="243"/>
      <c r="D19" s="243"/>
      <c r="E19" s="243"/>
      <c r="F19" s="94"/>
      <c r="G19" s="94"/>
      <c r="H19" s="94"/>
      <c r="I19" s="94"/>
      <c r="J19" s="3"/>
      <c r="K19" s="3"/>
      <c r="L19" s="3"/>
      <c r="M19" s="3"/>
      <c r="N19" s="3"/>
      <c r="O19" s="3"/>
      <c r="P19" s="3"/>
    </row>
    <row r="20" spans="1:16" ht="15.75" customHeight="1">
      <c r="A20" s="101"/>
      <c r="B20" s="111" t="s">
        <v>70</v>
      </c>
      <c r="C20" s="111" t="s">
        <v>71</v>
      </c>
      <c r="D20" s="227" t="s">
        <v>72</v>
      </c>
      <c r="E20" s="228"/>
      <c r="F20" s="94"/>
      <c r="G20" s="94"/>
      <c r="H20" s="94"/>
      <c r="I20" s="94"/>
      <c r="J20" s="3"/>
      <c r="K20" s="3"/>
      <c r="L20" s="3"/>
      <c r="M20" s="3"/>
      <c r="N20" s="3"/>
      <c r="O20" s="3"/>
      <c r="P20" s="3"/>
    </row>
    <row r="21" spans="1:16" ht="15.75" customHeight="1">
      <c r="A21" s="102" t="s">
        <v>53</v>
      </c>
      <c r="B21" s="162">
        <f>IF(VLOOKUP(A21,'Basic Info'!A:F,2,0)=0," ",VLOOKUP(A21,'Basic Info'!A:F,2,0))</f>
        <v>380</v>
      </c>
      <c r="C21" s="162">
        <f>IF(VLOOKUP(LEFT(A21,16),'Basic Info'!A:C,3,0)=0," ",(VLOOKUP(LEFT(A21,16),'Basic Info'!A:C,3,0)))</f>
        <v>230</v>
      </c>
      <c r="D21" s="229">
        <f>IF(VLOOKUP(LEFT(A21,16),'Basic Info'!A:D,4,0)=0," ",(VLOOKUP(LEFT(A21,16),'Basic Info'!A:D,4,0)))</f>
        <v>460</v>
      </c>
      <c r="E21" s="231"/>
      <c r="F21" s="94"/>
      <c r="G21" s="119"/>
      <c r="H21" s="3"/>
      <c r="I21" s="3"/>
      <c r="J21" s="3"/>
      <c r="K21" s="3"/>
      <c r="L21" s="3"/>
      <c r="M21" s="3"/>
      <c r="N21" s="3"/>
      <c r="O21" s="3"/>
      <c r="P21" s="3"/>
    </row>
    <row r="22" spans="1:16" ht="15.75" customHeight="1">
      <c r="A22" s="99" t="s">
        <v>52</v>
      </c>
      <c r="B22" s="267">
        <f>IF(VLOOKUP(A22,'Basic Info'!A:F,2,0)=0," ",VLOOKUP(A22,'Basic Info'!A:F,2,0))</f>
        <v>21.7</v>
      </c>
      <c r="C22" s="267"/>
      <c r="D22" s="267"/>
      <c r="E22" s="267"/>
      <c r="F22" s="92"/>
      <c r="G22" s="119"/>
      <c r="H22" s="3"/>
      <c r="I22" s="3"/>
      <c r="J22" s="3"/>
      <c r="K22" s="3"/>
      <c r="L22" s="3"/>
      <c r="M22" s="3"/>
      <c r="N22" s="3"/>
      <c r="O22" s="3"/>
      <c r="P22" s="3"/>
    </row>
    <row r="23" spans="1:16" ht="15.75" customHeight="1">
      <c r="A23" s="99" t="s">
        <v>61</v>
      </c>
      <c r="B23" s="267">
        <f>IF(VLOOKUP(A23,'Basic Info'!A:F,2,0)=0," ",VLOOKUP(A23,'Basic Info'!A:F,2,0))</f>
        <v>16</v>
      </c>
      <c r="C23" s="267"/>
      <c r="D23" s="267"/>
      <c r="E23" s="267"/>
      <c r="F23" s="94"/>
      <c r="G23" s="119"/>
    </row>
    <row r="24" spans="1:16" ht="15.75" customHeight="1">
      <c r="A24" s="99" t="s">
        <v>8</v>
      </c>
      <c r="B24" s="243" t="str">
        <f>IF(VLOOKUP(A24,'Basic Info'!A:F,2,0)=0," ",VLOOKUP(A24,'Basic Info'!A:F,2,0))</f>
        <v xml:space="preserve"> </v>
      </c>
      <c r="C24" s="243"/>
      <c r="D24" s="243"/>
      <c r="E24" s="243"/>
      <c r="F24" s="94"/>
      <c r="G24" s="119"/>
    </row>
    <row r="25" spans="1:16" ht="15.75" customHeight="1">
      <c r="A25" s="100" t="s">
        <v>54</v>
      </c>
      <c r="B25" s="243" t="str">
        <f>IF(VLOOKUP(A25,'Basic Info'!A:F,2,0)=0," ",VLOOKUP(A25,'Basic Info'!A:F,2,0))</f>
        <v>Ambient</v>
      </c>
      <c r="C25" s="243"/>
      <c r="D25" s="243"/>
      <c r="E25" s="243"/>
      <c r="F25" s="94"/>
      <c r="G25" s="119"/>
    </row>
    <row r="26" spans="1:16" ht="15.75" customHeight="1">
      <c r="A26" s="100" t="s">
        <v>197</v>
      </c>
      <c r="B26" s="259"/>
      <c r="C26" s="259"/>
      <c r="D26" s="259"/>
      <c r="E26" s="259"/>
      <c r="F26" s="94"/>
      <c r="G26" s="119"/>
    </row>
    <row r="27" spans="1:16" ht="15.75" customHeight="1">
      <c r="A27" s="100" t="s">
        <v>196</v>
      </c>
      <c r="B27" s="259"/>
      <c r="C27" s="259"/>
      <c r="D27" s="259"/>
      <c r="E27" s="259"/>
      <c r="F27" s="94"/>
      <c r="G27" s="119"/>
    </row>
    <row r="28" spans="1:16" ht="16">
      <c r="A28" s="101"/>
      <c r="B28" s="111" t="s">
        <v>73</v>
      </c>
      <c r="C28" s="111" t="s">
        <v>74</v>
      </c>
      <c r="D28" s="111" t="s">
        <v>75</v>
      </c>
      <c r="E28" s="111" t="s">
        <v>80</v>
      </c>
      <c r="F28" s="92"/>
    </row>
    <row r="29" spans="1:16" ht="16">
      <c r="A29" s="102" t="s">
        <v>62</v>
      </c>
      <c r="B29" s="110" t="str">
        <f>IF(VLOOKUP(LEFT(A29,16),'Basic Info'!A:F,2,0)=0," ",VLOOKUP(LEFT(A29,16),'Basic Info'!A:F,2,0))</f>
        <v>/</v>
      </c>
      <c r="C29" s="110" t="str">
        <f>IF(VLOOKUP(LEFT(A29,16),'Basic Info'!A:G,3,0)=0," ",VLOOKUP(LEFT(A29,16),'Basic Info'!A:G,3,0))</f>
        <v>/</v>
      </c>
      <c r="D29" s="110" t="str">
        <f>IF(VLOOKUP(LEFT(A29,16),'Basic Info'!A:H,4,0)=0," ",VLOOKUP(LEFT(A29,16),'Basic Info'!A:H,4,0))</f>
        <v>/</v>
      </c>
      <c r="E29" s="110" t="str">
        <f>IF(VLOOKUP(LEFT(A29,16),'Basic Info'!A:I,5,0)=0," ",VLOOKUP(LEFT(A29,16),'Basic Info'!A:I,5,0))</f>
        <v>/</v>
      </c>
      <c r="F29" s="93"/>
    </row>
    <row r="30" spans="1:16" ht="16">
      <c r="A30" s="116" t="s">
        <v>65</v>
      </c>
      <c r="B30" s="243" t="str">
        <f>IF(VLOOKUP(LEFT(A30,16),'Basic Info'!A:F,2,0)=0," ",VLOOKUP(LEFT(A30,16),'Basic Info'!A:F,2,0))</f>
        <v>Ningbo</v>
      </c>
      <c r="C30" s="243"/>
      <c r="D30" s="243"/>
      <c r="E30" s="243"/>
      <c r="F30" s="93"/>
    </row>
    <row r="31" spans="1:16" ht="17" thickBot="1">
      <c r="A31" s="116" t="s">
        <v>175</v>
      </c>
      <c r="B31" s="259"/>
      <c r="C31" s="259"/>
      <c r="D31" s="259"/>
      <c r="E31" s="259"/>
      <c r="F31" s="93"/>
    </row>
    <row r="32" spans="1:16" ht="18">
      <c r="A32" s="187" t="s">
        <v>67</v>
      </c>
      <c r="B32" s="273"/>
      <c r="C32" s="273"/>
      <c r="D32" s="273"/>
      <c r="E32" s="273"/>
      <c r="F32" s="93"/>
    </row>
    <row r="33" spans="1:16" ht="16">
      <c r="A33" s="99" t="s">
        <v>68</v>
      </c>
      <c r="B33" s="268" t="str">
        <f>IF(VLOOKUP(A33,'Basic Info'!A:F,2,0)=0," ",VLOOKUP(A33,'Basic Info'!A:F,2,0))</f>
        <v xml:space="preserve"> </v>
      </c>
      <c r="C33" s="268"/>
      <c r="D33" s="268"/>
      <c r="E33" s="268"/>
      <c r="F33" s="93"/>
    </row>
    <row r="34" spans="1:16" ht="16">
      <c r="A34" s="99" t="s">
        <v>171</v>
      </c>
      <c r="B34" s="269" t="str">
        <f>IF(B40=" "," ",B40*B23)</f>
        <v xml:space="preserve"> </v>
      </c>
      <c r="C34" s="269"/>
      <c r="D34" s="269"/>
      <c r="E34" s="269"/>
      <c r="F34" s="93"/>
      <c r="H34" s="277" t="s">
        <v>186</v>
      </c>
      <c r="I34" s="278"/>
      <c r="J34" s="278"/>
      <c r="K34" s="278"/>
      <c r="L34" s="279"/>
    </row>
    <row r="35" spans="1:16" ht="16">
      <c r="A35" s="99" t="s">
        <v>172</v>
      </c>
      <c r="B35" s="269" t="str">
        <f>IF(B41=" "," ",B41*B23)</f>
        <v xml:space="preserve"> </v>
      </c>
      <c r="C35" s="269"/>
      <c r="D35" s="269"/>
      <c r="E35" s="269"/>
      <c r="F35" s="93"/>
      <c r="H35" s="284" t="s">
        <v>84</v>
      </c>
      <c r="I35" s="285"/>
      <c r="J35" s="285"/>
      <c r="K35" s="285"/>
      <c r="L35" s="286"/>
      <c r="M35" s="1"/>
      <c r="N35" s="1"/>
      <c r="O35" s="1"/>
      <c r="P35" s="1"/>
    </row>
    <row r="36" spans="1:16" ht="16">
      <c r="A36" s="99" t="s">
        <v>173</v>
      </c>
      <c r="B36" s="269" t="str">
        <f>IF(B42=" "," ",B42*B23)</f>
        <v xml:space="preserve"> </v>
      </c>
      <c r="C36" s="269"/>
      <c r="D36" s="269"/>
      <c r="E36" s="269"/>
      <c r="F36" s="92"/>
      <c r="H36" s="120" t="s">
        <v>85</v>
      </c>
      <c r="I36" s="281" t="s">
        <v>86</v>
      </c>
      <c r="J36" s="282"/>
      <c r="K36" s="282"/>
      <c r="L36" s="283"/>
      <c r="M36" s="1"/>
      <c r="N36" s="1"/>
      <c r="O36" s="1"/>
      <c r="P36" s="1"/>
    </row>
    <row r="37" spans="1:16" ht="16">
      <c r="A37" s="99" t="s">
        <v>11</v>
      </c>
      <c r="B37" s="269" t="str">
        <f>IF(B40=" "," ",B40/B33)</f>
        <v xml:space="preserve"> </v>
      </c>
      <c r="C37" s="269"/>
      <c r="D37" s="269"/>
      <c r="E37" s="269"/>
      <c r="F37" s="93"/>
      <c r="H37" s="120" t="s">
        <v>87</v>
      </c>
      <c r="I37" s="281" t="s">
        <v>88</v>
      </c>
      <c r="J37" s="282"/>
      <c r="K37" s="282"/>
      <c r="L37" s="283"/>
    </row>
    <row r="38" spans="1:16" ht="16">
      <c r="A38" s="99" t="s">
        <v>12</v>
      </c>
      <c r="B38" s="269" t="str">
        <f>IF(B41=" "," ",B41/B33)</f>
        <v xml:space="preserve"> </v>
      </c>
      <c r="C38" s="269"/>
      <c r="D38" s="269"/>
      <c r="E38" s="269"/>
      <c r="F38" s="92"/>
      <c r="H38" s="120" t="s">
        <v>89</v>
      </c>
      <c r="I38" s="281" t="s">
        <v>90</v>
      </c>
      <c r="J38" s="282" t="s">
        <v>90</v>
      </c>
      <c r="K38" s="282" t="s">
        <v>90</v>
      </c>
      <c r="L38" s="283" t="s">
        <v>90</v>
      </c>
    </row>
    <row r="39" spans="1:16" ht="15" customHeight="1">
      <c r="A39" s="99" t="s">
        <v>101</v>
      </c>
      <c r="B39" s="269" t="str">
        <f>IF(B42=" "," ",B42/B33)</f>
        <v xml:space="preserve"> </v>
      </c>
      <c r="C39" s="269"/>
      <c r="D39" s="269"/>
      <c r="E39" s="269"/>
      <c r="F39" s="93"/>
      <c r="H39" s="120" t="s">
        <v>91</v>
      </c>
      <c r="I39" s="281" t="s">
        <v>92</v>
      </c>
      <c r="J39" s="282" t="s">
        <v>92</v>
      </c>
      <c r="K39" s="282" t="s">
        <v>92</v>
      </c>
      <c r="L39" s="283" t="s">
        <v>92</v>
      </c>
      <c r="M39"/>
      <c r="N39"/>
      <c r="O39"/>
      <c r="P39"/>
    </row>
    <row r="40" spans="1:16" ht="15" customHeight="1">
      <c r="A40" s="99" t="s">
        <v>98</v>
      </c>
      <c r="B40" s="269" t="str">
        <f>IF(VLOOKUP(A40,'Basic Info'!A:F,2,0)=0," ",VLOOKUP(A40,'Basic Info'!A:F,2,0))</f>
        <v xml:space="preserve"> </v>
      </c>
      <c r="C40" s="269"/>
      <c r="D40" s="269"/>
      <c r="E40" s="269"/>
      <c r="F40" s="93"/>
      <c r="H40" s="120" t="s">
        <v>93</v>
      </c>
      <c r="I40" s="281" t="s">
        <v>88</v>
      </c>
      <c r="J40" s="282" t="s">
        <v>88</v>
      </c>
      <c r="K40" s="282" t="s">
        <v>88</v>
      </c>
      <c r="L40" s="283" t="s">
        <v>88</v>
      </c>
      <c r="M40"/>
      <c r="N40"/>
      <c r="O40"/>
      <c r="P40"/>
    </row>
    <row r="41" spans="1:16" ht="15" customHeight="1">
      <c r="A41" s="99" t="s">
        <v>99</v>
      </c>
      <c r="B41" s="269" t="str">
        <f>IF(VLOOKUP(A41,'Basic Info'!A:F,2,0)=0," ",VLOOKUP(A41,'Basic Info'!A:F,2,0))</f>
        <v xml:space="preserve"> </v>
      </c>
      <c r="C41" s="269"/>
      <c r="D41" s="269"/>
      <c r="E41" s="269"/>
      <c r="F41" s="93"/>
    </row>
    <row r="42" spans="1:16" ht="16">
      <c r="A42" s="99" t="s">
        <v>100</v>
      </c>
      <c r="B42" s="269" t="str">
        <f>IF(VLOOKUP(A42,'Basic Info'!A:F,2,0)=0," ",VLOOKUP(A42,'Basic Info'!A:F,2,0))</f>
        <v xml:space="preserve"> </v>
      </c>
      <c r="C42" s="269"/>
      <c r="D42" s="269"/>
      <c r="E42" s="269"/>
      <c r="F42" s="93"/>
    </row>
    <row r="43" spans="1:16" ht="16">
      <c r="A43" s="99" t="s">
        <v>26</v>
      </c>
      <c r="B43" s="269" t="str">
        <f>IF(VLOOKUP(A43,'Basic Info'!A:F,2,0)=0," ",VLOOKUP(A43,'Basic Info'!A:F,2,0))</f>
        <v xml:space="preserve"> </v>
      </c>
      <c r="C43" s="269"/>
      <c r="D43" s="269"/>
      <c r="E43" s="269"/>
      <c r="F43" s="92"/>
      <c r="G43" s="280"/>
      <c r="H43" s="280"/>
    </row>
    <row r="44" spans="1:16" ht="14.25" customHeight="1">
      <c r="A44" s="101"/>
      <c r="B44" s="111" t="s">
        <v>70</v>
      </c>
      <c r="C44" s="111" t="s">
        <v>71</v>
      </c>
      <c r="D44" s="227" t="s">
        <v>72</v>
      </c>
      <c r="E44" s="228"/>
      <c r="F44" s="92"/>
      <c r="G44" s="17"/>
    </row>
    <row r="45" spans="1:16" ht="16">
      <c r="A45" s="102" t="s">
        <v>58</v>
      </c>
      <c r="B45" s="109" t="str">
        <f>IF(VLOOKUP(A45,'Basic Info'!A:F,2,0)=0," ",VLOOKUP(A45,'Basic Info'!A:F,2,0))</f>
        <v>please give H x W x D in comments</v>
      </c>
      <c r="C45" s="109" t="str">
        <f>IF(VLOOKUP(B45,'Basic Info'!B:G,2,0)=0," ",VLOOKUP(B45,'Basic Info'!B:G,2,0))</f>
        <v>please give H x W x D in comments</v>
      </c>
      <c r="D45" s="237" t="str">
        <f>IF(VLOOKUP(C45,'Basic Info'!C:H,2,0)=0," ",VLOOKUP(C45,'Basic Info'!C:H,2,0))</f>
        <v>please give H x W x D in comments</v>
      </c>
      <c r="E45" s="239"/>
      <c r="F45" s="92"/>
      <c r="G45" s="18"/>
    </row>
    <row r="46" spans="1:16">
      <c r="A46" s="274" t="s">
        <v>14</v>
      </c>
      <c r="B46" s="275"/>
      <c r="C46" s="275"/>
      <c r="D46" s="275"/>
      <c r="E46" s="276"/>
      <c r="F46" s="92"/>
      <c r="G46" s="18"/>
    </row>
    <row r="47" spans="1:16">
      <c r="F47" s="93"/>
      <c r="G47" s="18"/>
    </row>
    <row r="48" spans="1:16" ht="14.25" customHeight="1">
      <c r="G48" s="18"/>
    </row>
    <row r="49" spans="7:16" ht="14.25" customHeight="1">
      <c r="G49" s="18"/>
    </row>
    <row r="50" spans="7:16" ht="14.25" customHeight="1">
      <c r="H50" s="1"/>
    </row>
    <row r="51" spans="7:16" ht="14.25" customHeight="1">
      <c r="H51" s="1"/>
      <c r="I51" s="3"/>
      <c r="J51" s="3"/>
      <c r="K51" s="3"/>
      <c r="L51" s="3"/>
      <c r="M51" s="3"/>
      <c r="N51" s="3"/>
      <c r="O51" s="3"/>
      <c r="P51" s="3"/>
    </row>
    <row r="52" spans="7:16" ht="14.25" customHeight="1">
      <c r="H52" s="1"/>
      <c r="I52" s="3"/>
      <c r="J52" s="3"/>
      <c r="K52" s="3"/>
      <c r="L52" s="3"/>
      <c r="M52" s="3"/>
      <c r="N52" s="3"/>
      <c r="O52" s="3"/>
      <c r="P52" s="3"/>
    </row>
    <row r="53" spans="7:16">
      <c r="H53" s="1"/>
      <c r="I53" s="3"/>
      <c r="J53" s="3"/>
      <c r="K53" s="3"/>
      <c r="L53" s="3"/>
      <c r="M53" s="3"/>
      <c r="N53" s="3"/>
      <c r="O53" s="3"/>
      <c r="P53" s="3"/>
    </row>
    <row r="54" spans="7:16">
      <c r="H54" s="1"/>
      <c r="I54" s="3"/>
      <c r="J54" s="3"/>
      <c r="K54" s="3"/>
      <c r="L54" s="3"/>
      <c r="M54" s="3"/>
      <c r="N54" s="3"/>
      <c r="O54" s="3"/>
      <c r="P54" s="3"/>
    </row>
    <row r="55" spans="7:16">
      <c r="H55" s="1"/>
      <c r="I55" s="3"/>
      <c r="J55" s="3"/>
      <c r="K55" s="3"/>
      <c r="L55" s="3"/>
      <c r="M55" s="3"/>
      <c r="N55" s="3"/>
      <c r="O55" s="3"/>
      <c r="P55" s="3"/>
    </row>
    <row r="56" spans="7:16">
      <c r="H56" s="1"/>
      <c r="I56" s="3"/>
      <c r="J56" s="3"/>
      <c r="K56" s="3"/>
      <c r="L56" s="3"/>
      <c r="M56" s="3"/>
      <c r="N56" s="3"/>
      <c r="O56" s="3"/>
      <c r="P56" s="3"/>
    </row>
    <row r="57" spans="7:16">
      <c r="H57" s="1"/>
      <c r="I57" s="3"/>
      <c r="J57" s="3"/>
      <c r="K57" s="3"/>
      <c r="L57" s="3"/>
      <c r="M57" s="3"/>
      <c r="N57" s="3"/>
      <c r="O57" s="3"/>
      <c r="P57" s="3"/>
    </row>
  </sheetData>
  <sheetProtection algorithmName="SHA-512" hashValue="lvyj+//0PC2zk5OJhFzom7k6w+ICx1pIZHo6PZQikZALTg7fvT7PTxwbgZGNzT4skTKj5UQd2Ndbfq9sRWJseg==" saltValue="4wbW9IYu056M5rJdARGYFw==" spinCount="100000" sheet="1" objects="1" scenarios="1"/>
  <protectedRanges>
    <protectedRange algorithmName="SHA-512" hashValue="I+JCgGoGWPO6h0EeUZjHgBohbL47+5TVn8pBm022IuTuv1XAQ/yKFv1n9rRoctr41HZsBnW9D+cdI1IkFTy1Hg==" saltValue="Qw7OVJ1kHWM7nXRH9XX1xw==" spinCount="100000" sqref="B20:E20" name="Bereich1"/>
    <protectedRange algorithmName="SHA-512" hashValue="I+JCgGoGWPO6h0EeUZjHgBohbL47+5TVn8pBm022IuTuv1XAQ/yKFv1n9rRoctr41HZsBnW9D+cdI1IkFTy1Hg==" saltValue="Qw7OVJ1kHWM7nXRH9XX1xw==" spinCount="100000" sqref="A6" name="Bereich1_1"/>
    <protectedRange algorithmName="SHA-512" hashValue="I+JCgGoGWPO6h0EeUZjHgBohbL47+5TVn8pBm022IuTuv1XAQ/yKFv1n9rRoctr41HZsBnW9D+cdI1IkFTy1Hg==" saltValue="Qw7OVJ1kHWM7nXRH9XX1xw==" spinCount="100000" sqref="A13" name="Bereich1_3"/>
  </protectedRanges>
  <mergeCells count="53">
    <mergeCell ref="I37:L37"/>
    <mergeCell ref="I38:L38"/>
    <mergeCell ref="I39:L39"/>
    <mergeCell ref="I40:L40"/>
    <mergeCell ref="H35:L35"/>
    <mergeCell ref="H34:L34"/>
    <mergeCell ref="G43:H43"/>
    <mergeCell ref="A1:E2"/>
    <mergeCell ref="B5:E5"/>
    <mergeCell ref="B12:E12"/>
    <mergeCell ref="A4:E4"/>
    <mergeCell ref="B6:E6"/>
    <mergeCell ref="B10:E10"/>
    <mergeCell ref="B7:E7"/>
    <mergeCell ref="B8:E8"/>
    <mergeCell ref="B43:E43"/>
    <mergeCell ref="B33:E33"/>
    <mergeCell ref="B37:E37"/>
    <mergeCell ref="B38:E38"/>
    <mergeCell ref="I36:L36"/>
    <mergeCell ref="B13:E13"/>
    <mergeCell ref="B27:E27"/>
    <mergeCell ref="B30:E30"/>
    <mergeCell ref="A46:E46"/>
    <mergeCell ref="B24:E24"/>
    <mergeCell ref="B25:E25"/>
    <mergeCell ref="B41:E41"/>
    <mergeCell ref="B42:E42"/>
    <mergeCell ref="D44:E44"/>
    <mergeCell ref="D45:E45"/>
    <mergeCell ref="B31:E31"/>
    <mergeCell ref="B40:E40"/>
    <mergeCell ref="B34:E34"/>
    <mergeCell ref="B35:E35"/>
    <mergeCell ref="B36:E36"/>
    <mergeCell ref="B39:E39"/>
    <mergeCell ref="A32:E32"/>
    <mergeCell ref="B14:E14"/>
    <mergeCell ref="B16:E16"/>
    <mergeCell ref="B17:E17"/>
    <mergeCell ref="B18:E18"/>
    <mergeCell ref="B26:E26"/>
    <mergeCell ref="B22:E22"/>
    <mergeCell ref="B23:E23"/>
    <mergeCell ref="A15:E15"/>
    <mergeCell ref="B19:E19"/>
    <mergeCell ref="D20:E20"/>
    <mergeCell ref="D21:E21"/>
    <mergeCell ref="H3:O4"/>
    <mergeCell ref="H5:O6"/>
    <mergeCell ref="H7:O8"/>
    <mergeCell ref="B11:E11"/>
    <mergeCell ref="B9:E9"/>
  </mergeCells>
  <conditionalFormatting sqref="B8:E11 B14 B16:E18 B26:E27 B31">
    <cfRule type="containsBlanks" dxfId="7" priority="2">
      <formula>LEN(TRIM(B8))=0</formula>
    </cfRule>
  </conditionalFormatting>
  <conditionalFormatting sqref="F5:F9 F21:F47">
    <cfRule type="expression" dxfId="6" priority="28">
      <formula>#REF!="Please Fill"</formula>
    </cfRule>
  </conditionalFormatting>
  <conditionalFormatting sqref="F17:I20">
    <cfRule type="expression" dxfId="5" priority="1">
      <formula>#REF!="Please Fill"</formula>
    </cfRule>
  </conditionalFormatting>
  <dataValidations count="1">
    <dataValidation type="list" allowBlank="1" showInputMessage="1" showErrorMessage="1" sqref="B8" xr:uid="{00000000-0002-0000-0300-000000000000}">
      <formula1>"Core Range, Seasonal, Special"</formula1>
    </dataValidation>
  </dataValidations>
  <pageMargins left="0.7" right="0.7" top="0.78740157499999996" bottom="0.78740157499999996" header="0.3" footer="0.3"/>
  <pageSetup orientation="portrait" r:id="rId1"/>
  <ignoredErrors>
    <ignoredError sqref="B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>
    <tabColor theme="7" tint="-0.499984740745262"/>
  </sheetPr>
  <dimension ref="A1:Y118"/>
  <sheetViews>
    <sheetView showGridLines="0" zoomScale="70" zoomScaleNormal="70" workbookViewId="0">
      <selection activeCell="D53" sqref="D53:F53"/>
    </sheetView>
  </sheetViews>
  <sheetFormatPr baseColWidth="10" defaultColWidth="11.5" defaultRowHeight="14"/>
  <cols>
    <col min="1" max="1" width="7.33203125" style="52" customWidth="1"/>
    <col min="2" max="2" width="26.5" style="52" customWidth="1"/>
    <col min="3" max="3" width="22" style="52" customWidth="1"/>
    <col min="4" max="4" width="49.5" style="52" bestFit="1" customWidth="1"/>
    <col min="5" max="5" width="40.33203125" style="52" customWidth="1"/>
    <col min="6" max="6" width="67" style="52" bestFit="1" customWidth="1"/>
    <col min="7" max="7" width="64.6640625" style="50" customWidth="1"/>
    <col min="8" max="8" width="17.6640625" style="35" customWidth="1"/>
    <col min="9" max="9" width="16" style="35" customWidth="1"/>
    <col min="10" max="10" width="12.5" style="35" customWidth="1"/>
    <col min="11" max="11" width="17.6640625" style="35" customWidth="1"/>
    <col min="12" max="12" width="16" style="35" customWidth="1"/>
    <col min="13" max="13" width="12.5" style="35" customWidth="1"/>
    <col min="14" max="16" width="11.5" style="35" customWidth="1"/>
    <col min="17" max="17" width="13.5" style="35" customWidth="1"/>
    <col min="18" max="18" width="13" style="35" customWidth="1"/>
    <col min="19" max="19" width="11.5" style="35" customWidth="1"/>
    <col min="20" max="20" width="18.1640625" style="35" customWidth="1"/>
    <col min="21" max="21" width="11.5" style="35" customWidth="1"/>
    <col min="22" max="22" width="13" style="35" customWidth="1"/>
    <col min="23" max="27" width="11.5" style="35" customWidth="1"/>
    <col min="28" max="16384" width="11.5" style="35"/>
  </cols>
  <sheetData>
    <row r="1" spans="1:22" ht="18.75" customHeight="1">
      <c r="A1" s="264" t="s">
        <v>187</v>
      </c>
      <c r="B1" s="265"/>
      <c r="C1" s="265"/>
      <c r="D1" s="265"/>
      <c r="E1" s="265"/>
      <c r="F1" s="265"/>
    </row>
    <row r="2" spans="1:22" ht="33.75" customHeight="1" thickBot="1">
      <c r="A2" s="264"/>
      <c r="B2" s="265"/>
      <c r="C2" s="265"/>
      <c r="D2" s="265"/>
      <c r="E2" s="265"/>
      <c r="F2" s="265"/>
      <c r="G2" s="36"/>
      <c r="H2" s="34"/>
      <c r="I2" s="34"/>
      <c r="J2" s="34"/>
      <c r="K2" s="34"/>
      <c r="L2" s="34"/>
      <c r="M2" s="34"/>
    </row>
    <row r="3" spans="1:22">
      <c r="C3" s="123"/>
    </row>
    <row r="4" spans="1:22" ht="15">
      <c r="B4" s="61" t="s">
        <v>155</v>
      </c>
      <c r="C4" s="141"/>
      <c r="D4" s="35"/>
      <c r="E4" s="35"/>
    </row>
    <row r="5" spans="1:22">
      <c r="B5" s="35"/>
      <c r="D5" s="35"/>
      <c r="E5" s="35"/>
    </row>
    <row r="6" spans="1:22" ht="15">
      <c r="B6" s="61" t="s">
        <v>2</v>
      </c>
      <c r="C6" s="147" t="str">
        <f>IF(VLOOKUP(B6,'Basic Info'!A:B,2,0)=0," ",(VLOOKUP(B6,'Basic Info'!A:B,2,0)))</f>
        <v>/</v>
      </c>
      <c r="D6" s="146" t="s">
        <v>1</v>
      </c>
      <c r="E6" s="291" t="str">
        <f>IF(VLOOKUP(D6,'Basic Info'!A:B,2,0)=0," ",(VLOOKUP(D6,'Basic Info'!A:B,2,0)))</f>
        <v>Heavy Duty Tape Dispenser</v>
      </c>
      <c r="F6" s="291"/>
      <c r="M6" s="36"/>
    </row>
    <row r="7" spans="1:22" ht="15">
      <c r="B7" s="61"/>
      <c r="C7" s="56"/>
      <c r="D7" s="30"/>
      <c r="E7" s="57"/>
      <c r="F7" s="57"/>
      <c r="M7" s="36"/>
    </row>
    <row r="8" spans="1:22" ht="15">
      <c r="B8" s="61" t="s">
        <v>121</v>
      </c>
      <c r="C8" s="141"/>
      <c r="D8" s="30"/>
      <c r="E8" s="57"/>
      <c r="F8" s="57"/>
      <c r="M8" s="36"/>
    </row>
    <row r="9" spans="1:22" ht="15" thickBot="1"/>
    <row r="10" spans="1:22" ht="27.75" customHeight="1" thickBot="1">
      <c r="B10" s="287" t="s">
        <v>3</v>
      </c>
      <c r="C10" s="288"/>
      <c r="D10" s="289" t="str">
        <f>IF(VLOOKUP(B10,'Basic Info'!A:B,2,0)=0," ",(VLOOKUP(B10,'Basic Info'!A:B,2,0)))</f>
        <v>A2V Trade ltd</v>
      </c>
      <c r="E10" s="290"/>
      <c r="F10" s="124"/>
      <c r="H10" s="37"/>
      <c r="I10" s="37"/>
      <c r="J10" s="37"/>
      <c r="K10" s="37"/>
      <c r="L10" s="37"/>
      <c r="M10" s="37"/>
      <c r="O10" s="58"/>
      <c r="P10" s="59"/>
      <c r="Q10" s="59"/>
      <c r="R10" s="59"/>
      <c r="S10" s="59"/>
      <c r="T10" s="59"/>
      <c r="U10" s="59"/>
      <c r="V10" s="59"/>
    </row>
    <row r="11" spans="1:22" s="134" customFormat="1" ht="15.75" customHeight="1">
      <c r="A11" s="29"/>
      <c r="B11" s="298" t="s">
        <v>156</v>
      </c>
      <c r="C11" s="132" t="s">
        <v>191</v>
      </c>
      <c r="D11" s="300"/>
      <c r="E11" s="301"/>
      <c r="F11" s="302"/>
      <c r="G11" s="32"/>
      <c r="H11" s="31"/>
      <c r="I11" s="31"/>
      <c r="J11" s="31"/>
      <c r="K11" s="31"/>
      <c r="L11" s="31"/>
      <c r="M11" s="31"/>
      <c r="O11" s="135"/>
      <c r="P11" s="135"/>
      <c r="Q11" s="135"/>
      <c r="R11" s="135"/>
      <c r="S11" s="135"/>
      <c r="T11" s="135"/>
      <c r="U11" s="135"/>
      <c r="V11" s="135"/>
    </row>
    <row r="12" spans="1:22" s="134" customFormat="1" ht="16">
      <c r="A12" s="29"/>
      <c r="B12" s="298"/>
      <c r="C12" s="132" t="s">
        <v>192</v>
      </c>
      <c r="D12" s="292"/>
      <c r="E12" s="293"/>
      <c r="F12" s="294"/>
      <c r="G12" s="32"/>
      <c r="H12" s="31"/>
      <c r="I12" s="31"/>
      <c r="J12" s="31"/>
      <c r="K12" s="31"/>
      <c r="L12" s="31"/>
      <c r="M12" s="31"/>
    </row>
    <row r="13" spans="1:22" s="134" customFormat="1" ht="16">
      <c r="A13" s="29"/>
      <c r="B13" s="298"/>
      <c r="C13" s="132" t="s">
        <v>193</v>
      </c>
      <c r="D13" s="292"/>
      <c r="E13" s="293"/>
      <c r="F13" s="294"/>
      <c r="G13" s="32"/>
      <c r="H13" s="31"/>
      <c r="I13" s="31"/>
      <c r="J13" s="31"/>
      <c r="K13" s="31"/>
      <c r="L13" s="31"/>
      <c r="M13" s="31"/>
      <c r="O13" s="136"/>
      <c r="P13" s="137"/>
      <c r="Q13" s="138"/>
      <c r="R13" s="138"/>
      <c r="S13" s="139"/>
      <c r="T13" s="137"/>
      <c r="U13" s="138"/>
      <c r="V13" s="138"/>
    </row>
    <row r="14" spans="1:22" s="134" customFormat="1" ht="16">
      <c r="A14" s="29"/>
      <c r="B14" s="298"/>
      <c r="C14" s="132" t="s">
        <v>194</v>
      </c>
      <c r="D14" s="292"/>
      <c r="E14" s="293"/>
      <c r="F14" s="294"/>
      <c r="G14" s="32"/>
      <c r="H14" s="31"/>
      <c r="I14" s="31"/>
      <c r="J14" s="31"/>
      <c r="K14" s="31"/>
      <c r="L14" s="31"/>
      <c r="M14" s="31"/>
      <c r="Q14" s="138"/>
      <c r="R14" s="140"/>
      <c r="U14" s="138"/>
      <c r="V14" s="140"/>
    </row>
    <row r="15" spans="1:22" s="134" customFormat="1" ht="15.75" customHeight="1" thickBot="1">
      <c r="A15" s="29"/>
      <c r="B15" s="299"/>
      <c r="C15" s="132" t="s">
        <v>195</v>
      </c>
      <c r="D15" s="295"/>
      <c r="E15" s="296"/>
      <c r="F15" s="297"/>
      <c r="G15" s="32"/>
      <c r="H15" s="31"/>
      <c r="I15" s="31"/>
      <c r="J15" s="31"/>
      <c r="K15" s="31"/>
      <c r="L15" s="31"/>
      <c r="M15" s="31"/>
      <c r="Q15" s="138"/>
      <c r="R15" s="140"/>
      <c r="U15" s="138"/>
      <c r="V15" s="140"/>
    </row>
    <row r="16" spans="1:22" ht="14.25" customHeight="1">
      <c r="B16" s="298" t="s">
        <v>157</v>
      </c>
      <c r="C16" s="132" t="s">
        <v>191</v>
      </c>
      <c r="D16" s="300"/>
      <c r="E16" s="301"/>
      <c r="F16" s="302"/>
      <c r="G16" s="51"/>
      <c r="H16" s="38"/>
      <c r="I16" s="38"/>
      <c r="J16" s="38"/>
      <c r="K16" s="38"/>
      <c r="L16" s="38"/>
      <c r="M16" s="38"/>
      <c r="Q16" s="61"/>
      <c r="R16" s="63"/>
      <c r="U16" s="61"/>
      <c r="V16" s="63"/>
    </row>
    <row r="17" spans="1:22" ht="16" customHeight="1">
      <c r="B17" s="298"/>
      <c r="C17" s="132" t="s">
        <v>192</v>
      </c>
      <c r="D17" s="292"/>
      <c r="E17" s="293"/>
      <c r="F17" s="294"/>
      <c r="G17" s="39"/>
      <c r="H17" s="38"/>
      <c r="I17" s="38"/>
      <c r="J17" s="38"/>
      <c r="K17" s="38"/>
      <c r="L17" s="38"/>
      <c r="M17" s="38"/>
      <c r="Q17" s="61"/>
      <c r="R17" s="63"/>
      <c r="U17" s="61"/>
      <c r="V17" s="63"/>
    </row>
    <row r="18" spans="1:22" ht="16" customHeight="1">
      <c r="B18" s="298"/>
      <c r="C18" s="132" t="s">
        <v>193</v>
      </c>
      <c r="D18" s="292"/>
      <c r="E18" s="293"/>
      <c r="F18" s="294"/>
      <c r="G18" s="39"/>
      <c r="H18" s="38"/>
      <c r="I18" s="38"/>
      <c r="J18" s="38"/>
      <c r="K18" s="38"/>
      <c r="L18" s="38"/>
      <c r="M18" s="38"/>
      <c r="Q18" s="61"/>
      <c r="R18" s="63"/>
      <c r="U18" s="61"/>
      <c r="V18" s="63"/>
    </row>
    <row r="19" spans="1:22" ht="16" customHeight="1">
      <c r="B19" s="298"/>
      <c r="C19" s="132" t="s">
        <v>194</v>
      </c>
      <c r="D19" s="292"/>
      <c r="E19" s="293"/>
      <c r="F19" s="294"/>
      <c r="G19" s="39"/>
      <c r="H19" s="38"/>
      <c r="I19" s="38"/>
      <c r="J19" s="38"/>
      <c r="K19" s="38"/>
      <c r="L19" s="38"/>
      <c r="M19" s="38"/>
      <c r="Q19" s="61"/>
      <c r="R19" s="63"/>
      <c r="U19" s="61"/>
      <c r="V19" s="63"/>
    </row>
    <row r="20" spans="1:22" ht="16" customHeight="1" thickBot="1">
      <c r="B20" s="299"/>
      <c r="C20" s="132" t="s">
        <v>195</v>
      </c>
      <c r="D20" s="295"/>
      <c r="E20" s="296"/>
      <c r="F20" s="297"/>
      <c r="G20" s="39"/>
      <c r="H20" s="38"/>
      <c r="I20" s="38"/>
      <c r="J20" s="38"/>
      <c r="K20" s="38"/>
      <c r="L20" s="38"/>
      <c r="M20" s="38"/>
      <c r="Q20" s="61"/>
      <c r="R20" s="63"/>
      <c r="U20" s="61"/>
      <c r="V20" s="63"/>
    </row>
    <row r="21" spans="1:22" ht="16" customHeight="1">
      <c r="B21" s="298" t="s">
        <v>158</v>
      </c>
      <c r="C21" s="132" t="s">
        <v>191</v>
      </c>
      <c r="D21" s="316" t="str">
        <f>IF(D11=0,"",D11/$D$59)</f>
        <v/>
      </c>
      <c r="E21" s="316"/>
      <c r="F21" s="317"/>
      <c r="G21" s="39"/>
      <c r="H21" s="38"/>
      <c r="I21" s="38"/>
      <c r="J21" s="38"/>
      <c r="K21" s="38"/>
      <c r="L21" s="38"/>
      <c r="M21" s="38"/>
      <c r="Q21" s="61"/>
      <c r="R21" s="63"/>
      <c r="U21" s="61"/>
      <c r="V21" s="63"/>
    </row>
    <row r="22" spans="1:22" ht="16" customHeight="1">
      <c r="B22" s="298"/>
      <c r="C22" s="132" t="s">
        <v>192</v>
      </c>
      <c r="D22" s="316" t="str">
        <f t="shared" ref="D22:D30" si="0">IF(D12=0,"",D12/$D$59)</f>
        <v/>
      </c>
      <c r="E22" s="316"/>
      <c r="F22" s="317"/>
      <c r="G22" s="39"/>
      <c r="H22" s="38"/>
      <c r="I22" s="38"/>
      <c r="J22" s="38"/>
      <c r="K22" s="38"/>
      <c r="L22" s="38"/>
      <c r="M22" s="38"/>
      <c r="Q22" s="61"/>
      <c r="R22" s="63"/>
      <c r="U22" s="61"/>
      <c r="V22" s="63"/>
    </row>
    <row r="23" spans="1:22" ht="16" customHeight="1">
      <c r="B23" s="298"/>
      <c r="C23" s="132" t="s">
        <v>193</v>
      </c>
      <c r="D23" s="316" t="str">
        <f t="shared" si="0"/>
        <v/>
      </c>
      <c r="E23" s="316"/>
      <c r="F23" s="317"/>
      <c r="G23" s="39"/>
      <c r="H23" s="38"/>
      <c r="I23" s="38"/>
      <c r="J23" s="38"/>
      <c r="K23" s="38"/>
      <c r="L23" s="38"/>
      <c r="M23" s="38"/>
      <c r="Q23" s="61"/>
      <c r="R23" s="63"/>
      <c r="U23" s="61"/>
      <c r="V23" s="63"/>
    </row>
    <row r="24" spans="1:22" ht="16" customHeight="1">
      <c r="B24" s="298"/>
      <c r="C24" s="132" t="s">
        <v>194</v>
      </c>
      <c r="D24" s="316" t="str">
        <f t="shared" si="0"/>
        <v/>
      </c>
      <c r="E24" s="316"/>
      <c r="F24" s="317"/>
      <c r="G24" s="39"/>
      <c r="H24" s="38"/>
      <c r="I24" s="38"/>
      <c r="J24" s="38"/>
      <c r="K24" s="38"/>
      <c r="L24" s="38"/>
      <c r="M24" s="38"/>
      <c r="Q24" s="61"/>
      <c r="R24" s="63"/>
      <c r="U24" s="61"/>
      <c r="V24" s="63"/>
    </row>
    <row r="25" spans="1:22" ht="16" customHeight="1" thickBot="1">
      <c r="B25" s="299"/>
      <c r="C25" s="132" t="s">
        <v>195</v>
      </c>
      <c r="D25" s="318" t="str">
        <f t="shared" si="0"/>
        <v/>
      </c>
      <c r="E25" s="318"/>
      <c r="F25" s="319"/>
      <c r="G25" s="39"/>
      <c r="H25" s="38"/>
      <c r="I25" s="38"/>
      <c r="J25" s="38"/>
      <c r="K25" s="38"/>
      <c r="L25" s="38"/>
      <c r="M25" s="38"/>
      <c r="Q25" s="61"/>
      <c r="R25" s="63"/>
      <c r="U25" s="61"/>
      <c r="V25" s="63"/>
    </row>
    <row r="26" spans="1:22" ht="16" customHeight="1">
      <c r="B26" s="298" t="s">
        <v>190</v>
      </c>
      <c r="C26" s="132" t="s">
        <v>191</v>
      </c>
      <c r="D26" s="316" t="str">
        <f t="shared" si="0"/>
        <v/>
      </c>
      <c r="E26" s="316"/>
      <c r="F26" s="317"/>
      <c r="G26" s="39"/>
      <c r="H26" s="38"/>
      <c r="I26" s="38"/>
      <c r="J26" s="38"/>
      <c r="K26" s="38"/>
      <c r="L26" s="38"/>
      <c r="M26" s="38"/>
      <c r="Q26" s="61"/>
      <c r="R26" s="63"/>
      <c r="U26" s="61"/>
      <c r="V26" s="63"/>
    </row>
    <row r="27" spans="1:22" ht="16" customHeight="1">
      <c r="B27" s="298"/>
      <c r="C27" s="132" t="s">
        <v>192</v>
      </c>
      <c r="D27" s="316" t="str">
        <f t="shared" si="0"/>
        <v/>
      </c>
      <c r="E27" s="316"/>
      <c r="F27" s="317"/>
      <c r="G27" s="39"/>
      <c r="H27" s="38"/>
      <c r="I27" s="38"/>
      <c r="J27" s="38"/>
      <c r="K27" s="38"/>
      <c r="L27" s="38"/>
      <c r="M27" s="38"/>
      <c r="Q27" s="61"/>
      <c r="R27" s="63"/>
      <c r="U27" s="61"/>
      <c r="V27" s="63"/>
    </row>
    <row r="28" spans="1:22" ht="16" customHeight="1">
      <c r="B28" s="298"/>
      <c r="C28" s="132" t="s">
        <v>193</v>
      </c>
      <c r="D28" s="316" t="str">
        <f t="shared" si="0"/>
        <v/>
      </c>
      <c r="E28" s="316"/>
      <c r="F28" s="317"/>
      <c r="G28" s="39"/>
      <c r="H28" s="38"/>
      <c r="I28" s="38"/>
      <c r="J28" s="38"/>
      <c r="K28" s="38"/>
      <c r="L28" s="38"/>
      <c r="M28" s="38"/>
      <c r="Q28" s="61"/>
      <c r="R28" s="63"/>
      <c r="U28" s="61"/>
      <c r="V28" s="63"/>
    </row>
    <row r="29" spans="1:22" ht="16" customHeight="1">
      <c r="B29" s="298"/>
      <c r="C29" s="132" t="s">
        <v>194</v>
      </c>
      <c r="D29" s="316" t="str">
        <f t="shared" si="0"/>
        <v/>
      </c>
      <c r="E29" s="316"/>
      <c r="F29" s="317"/>
      <c r="G29" s="39"/>
      <c r="H29" s="38"/>
      <c r="I29" s="38"/>
      <c r="J29" s="38"/>
      <c r="K29" s="38"/>
      <c r="L29" s="38"/>
      <c r="M29" s="38"/>
      <c r="Q29" s="61"/>
      <c r="R29" s="63"/>
      <c r="U29" s="61"/>
      <c r="V29" s="63"/>
    </row>
    <row r="30" spans="1:22" ht="24" customHeight="1" thickBot="1">
      <c r="B30" s="299"/>
      <c r="C30" s="133" t="s">
        <v>195</v>
      </c>
      <c r="D30" s="316" t="str">
        <f t="shared" si="0"/>
        <v/>
      </c>
      <c r="E30" s="316"/>
      <c r="F30" s="317"/>
      <c r="G30" s="39"/>
      <c r="H30" s="2"/>
      <c r="I30" s="2"/>
      <c r="J30" s="38"/>
      <c r="K30" s="38"/>
      <c r="L30" s="38"/>
      <c r="M30" s="38"/>
      <c r="Q30" s="61"/>
      <c r="R30" s="63"/>
      <c r="U30" s="61"/>
      <c r="V30" s="63"/>
    </row>
    <row r="31" spans="1:22" ht="16" customHeight="1" thickBot="1">
      <c r="A31" s="55"/>
      <c r="B31" s="85"/>
      <c r="C31" s="84"/>
      <c r="D31" s="129" t="s">
        <v>122</v>
      </c>
      <c r="E31" s="129" t="s">
        <v>216</v>
      </c>
      <c r="F31" s="129" t="s">
        <v>123</v>
      </c>
      <c r="G31" s="40" t="b">
        <v>0</v>
      </c>
      <c r="H31" s="2"/>
      <c r="I31" s="2"/>
      <c r="J31" s="41"/>
      <c r="K31" s="41"/>
      <c r="L31" s="41"/>
      <c r="M31" s="41"/>
      <c r="Q31" s="61"/>
      <c r="R31" s="63"/>
      <c r="U31" s="61"/>
      <c r="V31" s="63"/>
    </row>
    <row r="32" spans="1:22" ht="16" customHeight="1">
      <c r="A32" s="55"/>
      <c r="B32" s="326" t="s">
        <v>131</v>
      </c>
      <c r="C32" s="320" t="s">
        <v>128</v>
      </c>
      <c r="D32" s="323"/>
      <c r="E32" s="130" t="s">
        <v>132</v>
      </c>
      <c r="F32" s="125">
        <f>$D$32</f>
        <v>0</v>
      </c>
      <c r="G32" s="42" t="s">
        <v>125</v>
      </c>
      <c r="H32" s="2"/>
      <c r="I32" s="2"/>
      <c r="J32" s="44"/>
      <c r="K32" s="43"/>
      <c r="L32" s="44"/>
      <c r="M32" s="44"/>
      <c r="Q32" s="61"/>
      <c r="R32" s="63"/>
      <c r="U32" s="61"/>
      <c r="V32" s="63"/>
    </row>
    <row r="33" spans="1:23" ht="16" customHeight="1">
      <c r="A33" s="55"/>
      <c r="B33" s="298"/>
      <c r="C33" s="321"/>
      <c r="D33" s="324"/>
      <c r="E33" s="130" t="s">
        <v>133</v>
      </c>
      <c r="F33" s="126">
        <f>$D$32</f>
        <v>0</v>
      </c>
      <c r="G33" s="45"/>
      <c r="H33" s="2"/>
      <c r="I33" s="2"/>
      <c r="J33" s="44"/>
      <c r="K33" s="43"/>
      <c r="L33" s="44"/>
      <c r="M33" s="44"/>
      <c r="Q33" s="61"/>
      <c r="R33" s="63"/>
      <c r="U33" s="61"/>
      <c r="V33" s="63"/>
    </row>
    <row r="34" spans="1:23" ht="16" customHeight="1">
      <c r="A34" s="55"/>
      <c r="B34" s="298"/>
      <c r="C34" s="321"/>
      <c r="D34" s="324"/>
      <c r="E34" s="130" t="s">
        <v>134</v>
      </c>
      <c r="F34" s="126">
        <f t="shared" ref="F34:F36" si="1">$D$32</f>
        <v>0</v>
      </c>
      <c r="G34" s="46"/>
      <c r="H34" s="1"/>
      <c r="I34" s="1"/>
      <c r="J34" s="44"/>
      <c r="K34" s="43"/>
      <c r="L34" s="44"/>
      <c r="M34" s="44"/>
      <c r="Q34" s="61"/>
      <c r="R34" s="63"/>
      <c r="U34" s="61"/>
      <c r="V34" s="63"/>
    </row>
    <row r="35" spans="1:23" ht="16" customHeight="1">
      <c r="A35" s="55"/>
      <c r="B35" s="298"/>
      <c r="C35" s="321"/>
      <c r="D35" s="324"/>
      <c r="E35" s="130" t="s">
        <v>135</v>
      </c>
      <c r="F35" s="126">
        <f>$D$32</f>
        <v>0</v>
      </c>
      <c r="G35" s="46"/>
      <c r="H35" s="43"/>
      <c r="I35" s="44"/>
      <c r="J35" s="44"/>
      <c r="K35" s="43"/>
      <c r="L35" s="44"/>
      <c r="M35" s="44"/>
      <c r="Q35" s="61"/>
      <c r="R35" s="63"/>
      <c r="U35" s="61"/>
      <c r="V35" s="63"/>
    </row>
    <row r="36" spans="1:23" ht="16" customHeight="1">
      <c r="A36" s="55"/>
      <c r="B36" s="298"/>
      <c r="C36" s="321"/>
      <c r="D36" s="324"/>
      <c r="E36" s="130" t="s">
        <v>136</v>
      </c>
      <c r="F36" s="126">
        <f t="shared" si="1"/>
        <v>0</v>
      </c>
      <c r="G36" s="46"/>
      <c r="H36" s="43"/>
      <c r="I36" s="44"/>
      <c r="J36" s="44"/>
      <c r="K36" s="43"/>
      <c r="L36" s="44"/>
      <c r="M36" s="44"/>
      <c r="Q36" s="61"/>
      <c r="R36" s="63"/>
      <c r="U36" s="61"/>
      <c r="V36" s="63"/>
    </row>
    <row r="37" spans="1:23" ht="13.5" customHeight="1">
      <c r="A37" s="55"/>
      <c r="B37" s="298"/>
      <c r="C37" s="322"/>
      <c r="D37" s="325"/>
      <c r="E37" s="130" t="s">
        <v>137</v>
      </c>
      <c r="F37" s="126">
        <f>$D$32</f>
        <v>0</v>
      </c>
      <c r="G37" s="46"/>
      <c r="H37" s="43"/>
      <c r="I37" s="44"/>
      <c r="J37" s="44"/>
      <c r="K37" s="43"/>
      <c r="L37" s="44"/>
      <c r="M37" s="44"/>
      <c r="Q37" s="61"/>
      <c r="R37" s="63"/>
      <c r="U37" s="61"/>
      <c r="V37" s="63"/>
    </row>
    <row r="38" spans="1:23" ht="13.5" customHeight="1">
      <c r="A38" s="55"/>
      <c r="B38" s="298"/>
      <c r="C38" s="320" t="s">
        <v>126</v>
      </c>
      <c r="D38" s="323"/>
      <c r="E38" s="130" t="s">
        <v>138</v>
      </c>
      <c r="F38" s="126">
        <f>$D$38</f>
        <v>0</v>
      </c>
      <c r="G38" s="46"/>
      <c r="H38" s="43"/>
      <c r="I38" s="44"/>
      <c r="J38" s="44"/>
      <c r="K38" s="43"/>
      <c r="L38" s="44"/>
      <c r="M38" s="44"/>
      <c r="O38" s="61"/>
      <c r="P38" s="61"/>
      <c r="Q38" s="61"/>
      <c r="R38" s="61"/>
      <c r="S38" s="61"/>
      <c r="T38" s="61"/>
      <c r="U38" s="47"/>
      <c r="V38" s="47"/>
      <c r="W38" s="47"/>
    </row>
    <row r="39" spans="1:23" ht="16" customHeight="1">
      <c r="A39" s="55"/>
      <c r="B39" s="298"/>
      <c r="C39" s="321"/>
      <c r="D39" s="324"/>
      <c r="E39" s="130" t="s">
        <v>139</v>
      </c>
      <c r="F39" s="126">
        <f t="shared" ref="F39:F40" si="2">$D$38</f>
        <v>0</v>
      </c>
      <c r="G39" s="46"/>
      <c r="H39" s="43"/>
      <c r="I39" s="44"/>
      <c r="J39" s="44"/>
      <c r="K39" s="43"/>
      <c r="L39" s="44"/>
      <c r="M39" s="44"/>
      <c r="Q39" s="65"/>
      <c r="T39" s="63"/>
    </row>
    <row r="40" spans="1:23" ht="16" customHeight="1">
      <c r="A40" s="55"/>
      <c r="B40" s="298"/>
      <c r="C40" s="321"/>
      <c r="D40" s="324"/>
      <c r="E40" s="130" t="s">
        <v>140</v>
      </c>
      <c r="F40" s="126">
        <f t="shared" si="2"/>
        <v>0</v>
      </c>
      <c r="G40" s="46"/>
      <c r="H40" s="43"/>
      <c r="I40" s="44"/>
      <c r="J40" s="44"/>
      <c r="K40" s="43"/>
      <c r="L40" s="44"/>
      <c r="M40" s="44"/>
      <c r="O40" s="41"/>
      <c r="P40" s="41"/>
      <c r="Q40" s="65"/>
      <c r="T40" s="63"/>
    </row>
    <row r="41" spans="1:23" ht="16" customHeight="1">
      <c r="A41" s="55"/>
      <c r="B41" s="298"/>
      <c r="C41" s="130" t="s">
        <v>127</v>
      </c>
      <c r="D41" s="155"/>
      <c r="E41" s="130" t="s">
        <v>141</v>
      </c>
      <c r="F41" s="126">
        <f>$D$41</f>
        <v>0</v>
      </c>
      <c r="G41" s="46"/>
      <c r="H41" s="43"/>
      <c r="I41" s="44"/>
      <c r="J41" s="44"/>
      <c r="K41" s="43"/>
      <c r="L41" s="44"/>
      <c r="M41" s="44"/>
      <c r="Q41" s="65"/>
      <c r="T41" s="63"/>
    </row>
    <row r="42" spans="1:23" ht="16" customHeight="1">
      <c r="A42" s="55"/>
      <c r="B42" s="298"/>
      <c r="C42" s="130" t="s">
        <v>129</v>
      </c>
      <c r="D42" s="155"/>
      <c r="E42" s="130" t="s">
        <v>142</v>
      </c>
      <c r="F42" s="127">
        <f>D42</f>
        <v>0</v>
      </c>
      <c r="G42" s="46"/>
      <c r="H42" s="43"/>
      <c r="I42" s="44"/>
      <c r="J42" s="44"/>
      <c r="K42" s="43"/>
      <c r="L42" s="44"/>
      <c r="M42" s="44"/>
      <c r="Q42" s="65"/>
      <c r="T42" s="63"/>
    </row>
    <row r="43" spans="1:23" ht="16" customHeight="1">
      <c r="A43" s="55"/>
      <c r="B43" s="298"/>
      <c r="C43" s="320" t="s">
        <v>130</v>
      </c>
      <c r="D43" s="323"/>
      <c r="E43" s="130" t="s">
        <v>143</v>
      </c>
      <c r="F43" s="126">
        <f>$D$43</f>
        <v>0</v>
      </c>
      <c r="G43" s="45"/>
      <c r="H43" s="43"/>
      <c r="I43" s="44"/>
      <c r="J43" s="44"/>
      <c r="K43" s="43"/>
      <c r="L43" s="44"/>
      <c r="M43" s="44"/>
      <c r="Q43" s="65"/>
      <c r="T43" s="63"/>
    </row>
    <row r="44" spans="1:23" ht="14.25" customHeight="1" thickBot="1">
      <c r="A44" s="55"/>
      <c r="B44" s="298"/>
      <c r="C44" s="321"/>
      <c r="D44" s="324"/>
      <c r="E44" s="130" t="s">
        <v>144</v>
      </c>
      <c r="F44" s="128">
        <f>$D$43</f>
        <v>0</v>
      </c>
      <c r="G44" s="45"/>
      <c r="H44" s="43"/>
      <c r="I44" s="44"/>
      <c r="J44" s="44"/>
      <c r="K44" s="43"/>
      <c r="L44" s="44"/>
      <c r="M44" s="44"/>
      <c r="Q44" s="65"/>
      <c r="T44" s="63"/>
    </row>
    <row r="45" spans="1:23" ht="27.75" hidden="1" customHeight="1" thickBot="1">
      <c r="A45" s="55"/>
      <c r="B45" s="87" t="s">
        <v>145</v>
      </c>
      <c r="C45" s="87"/>
      <c r="D45" s="88" t="s">
        <v>119</v>
      </c>
      <c r="E45" s="83"/>
      <c r="F45" s="86"/>
      <c r="G45" s="45"/>
      <c r="H45" s="43"/>
      <c r="I45" s="44"/>
      <c r="J45" s="44"/>
      <c r="K45" s="43"/>
      <c r="L45" s="44"/>
      <c r="M45" s="44"/>
      <c r="Q45" s="65"/>
      <c r="T45" s="63"/>
    </row>
    <row r="46" spans="1:23" ht="27.75" customHeight="1" thickBot="1">
      <c r="A46" s="35"/>
      <c r="B46" s="343" t="s">
        <v>215</v>
      </c>
      <c r="C46" s="340" t="s">
        <v>146</v>
      </c>
      <c r="D46" s="341"/>
      <c r="E46" s="341"/>
      <c r="F46" s="342"/>
      <c r="I46" s="44"/>
      <c r="J46" s="44"/>
      <c r="K46" s="43"/>
      <c r="L46" s="44"/>
      <c r="M46" s="44"/>
      <c r="Q46" s="65"/>
      <c r="T46" s="63"/>
    </row>
    <row r="47" spans="1:23" ht="27.75" customHeight="1" thickBot="1">
      <c r="A47" s="165" t="s">
        <v>161</v>
      </c>
      <c r="B47" s="344"/>
      <c r="C47" s="163" t="s">
        <v>188</v>
      </c>
      <c r="D47" s="347" t="s">
        <v>204</v>
      </c>
      <c r="E47" s="348"/>
      <c r="F47" s="131" t="s">
        <v>189</v>
      </c>
      <c r="H47" s="48"/>
      <c r="I47" s="48"/>
      <c r="J47" s="48"/>
      <c r="K47" s="48"/>
      <c r="L47" s="48"/>
      <c r="M47" s="48"/>
      <c r="Q47" s="65"/>
      <c r="T47" s="63"/>
    </row>
    <row r="48" spans="1:23" ht="15" customHeight="1">
      <c r="A48" s="144" t="s">
        <v>128</v>
      </c>
      <c r="B48" s="166"/>
      <c r="C48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",(VLOOKUP(A47,'Basic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",(VLOOKUP(A47,'Basic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48" s="345" t="str">
        <f>IF(VLOOKUP($A$47,'Basic Info'!A:F,4,0)=0," ",(VLOOKUP($A$47,'Basic Info'!A:F,4,0)))</f>
        <v>/</v>
      </c>
      <c r="E48" s="346"/>
      <c r="F48" s="143" t="str">
        <f>IF(VLOOKUP($A$47,'Basic Info'!A:F,3,0)=0," ",(VLOOKUP($A$47,'Basic Info'!A:F,3,0)))</f>
        <v>/</v>
      </c>
      <c r="H48" s="48"/>
      <c r="I48" s="48"/>
      <c r="J48" s="48"/>
      <c r="K48" s="48"/>
      <c r="L48" s="48"/>
      <c r="M48" s="48"/>
      <c r="Q48" s="65"/>
      <c r="T48" s="63"/>
    </row>
    <row r="49" spans="1:22" ht="15" customHeight="1">
      <c r="A49" s="144" t="s">
        <v>126</v>
      </c>
      <c r="B49" s="166"/>
      <c r="C49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49" s="345" t="str">
        <f>IF(VLOOKUP($A$47,'Basic Info'!A:F,4,0)=0," ",(VLOOKUP($A$47,'Basic Info'!A:F,4,0)))</f>
        <v>/</v>
      </c>
      <c r="E49" s="346"/>
      <c r="F49" s="143" t="str">
        <f>IF(VLOOKUP($A$47,'Basic Info'!A:F,3,0)=0," ",(VLOOKUP($A$47,'Basic Info'!A:F,3,0)))</f>
        <v>/</v>
      </c>
      <c r="G49" s="42"/>
      <c r="H49" s="48"/>
      <c r="I49" s="48"/>
      <c r="J49" s="48"/>
      <c r="K49" s="48"/>
      <c r="L49" s="48"/>
      <c r="M49" s="48"/>
      <c r="Q49" s="65"/>
      <c r="T49" s="63"/>
    </row>
    <row r="50" spans="1:22" ht="15" customHeight="1">
      <c r="A50" s="144" t="s">
        <v>130</v>
      </c>
      <c r="B50" s="166"/>
      <c r="C50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50" s="345" t="str">
        <f>IF(VLOOKUP($A$47,'Basic Info'!A:F,4,0)=0," ",(VLOOKUP($A$47,'Basic Info'!A:F,4,0)))</f>
        <v>/</v>
      </c>
      <c r="E50" s="346"/>
      <c r="F50" s="143" t="str">
        <f>IF(VLOOKUP($A$47,'Basic Info'!A:F,3,0)=0," ",(VLOOKUP($A$47,'Basic Info'!A:F,3,0)))</f>
        <v>/</v>
      </c>
      <c r="G50" s="42"/>
      <c r="H50" s="48"/>
      <c r="I50" s="48"/>
      <c r="J50" s="48"/>
      <c r="K50" s="48"/>
      <c r="L50" s="48"/>
      <c r="M50" s="48"/>
      <c r="Q50" s="65"/>
      <c r="T50" s="63"/>
    </row>
    <row r="51" spans="1:22" ht="14.25" customHeight="1">
      <c r="A51" s="145" t="s">
        <v>127</v>
      </c>
      <c r="B51" s="166"/>
      <c r="C51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51" s="345" t="str">
        <f>IF(VLOOKUP($A$47,'Basic Info'!A:F,4,0)=0," ",(VLOOKUP($A$47,'Basic Info'!A:F,4,0)))</f>
        <v>/</v>
      </c>
      <c r="E51" s="346"/>
      <c r="F51" s="143" t="str">
        <f>IF(VLOOKUP($A$47,'Basic Info'!A:F,3,0)=0," ",(VLOOKUP($A$47,'Basic Info'!A:F,3,0)))</f>
        <v>/</v>
      </c>
      <c r="G51" s="42"/>
      <c r="H51" s="48"/>
      <c r="I51" s="48"/>
      <c r="J51" s="48"/>
      <c r="K51" s="48"/>
      <c r="L51" s="48"/>
      <c r="M51" s="48"/>
      <c r="Q51" s="65"/>
      <c r="T51" s="63"/>
    </row>
    <row r="52" spans="1:22" ht="14.25" customHeight="1">
      <c r="A52" s="145" t="s">
        <v>129</v>
      </c>
      <c r="B52" s="166"/>
      <c r="C52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52" s="345" t="str">
        <f>IF(VLOOKUP($A$47,'Basic Info'!A:F,4,0)=0," ",(VLOOKUP($A$47,'Basic Info'!A:F,4,0)))</f>
        <v>/</v>
      </c>
      <c r="E52" s="346"/>
      <c r="F52" s="143" t="str">
        <f>IF(VLOOKUP($A$47,'Basic Info'!A:F,3,0)=0," ",(VLOOKUP($A$47,'Basic Info'!A:F,3,0)))</f>
        <v>/</v>
      </c>
      <c r="G52" s="42"/>
      <c r="H52" s="48"/>
      <c r="I52" s="48"/>
      <c r="J52" s="48"/>
      <c r="K52" s="48"/>
      <c r="L52" s="48"/>
      <c r="M52" s="48"/>
      <c r="Q52" s="65"/>
      <c r="T52" s="63"/>
    </row>
    <row r="53" spans="1:22" ht="21" customHeight="1">
      <c r="B53" s="312" t="s">
        <v>212</v>
      </c>
      <c r="C53" s="313"/>
      <c r="D53" s="338"/>
      <c r="E53" s="338"/>
      <c r="F53" s="339"/>
      <c r="G53" s="42"/>
      <c r="H53" s="48"/>
      <c r="I53" s="48"/>
      <c r="J53" s="48"/>
      <c r="K53" s="48"/>
      <c r="L53" s="48"/>
      <c r="M53" s="48"/>
      <c r="Q53" s="65"/>
      <c r="T53" s="63"/>
    </row>
    <row r="54" spans="1:22" ht="21" customHeight="1">
      <c r="B54" s="329" t="s">
        <v>159</v>
      </c>
      <c r="C54" s="330"/>
      <c r="D54" s="327"/>
      <c r="E54" s="327"/>
      <c r="F54" s="328"/>
      <c r="G54" s="42"/>
      <c r="H54" s="48"/>
      <c r="I54" s="48"/>
      <c r="J54" s="48"/>
      <c r="K54" s="48"/>
      <c r="L54" s="48"/>
      <c r="M54" s="48"/>
      <c r="Q54" s="65"/>
      <c r="T54" s="63"/>
    </row>
    <row r="55" spans="1:22" ht="21" customHeight="1">
      <c r="B55" s="312" t="s">
        <v>160</v>
      </c>
      <c r="C55" s="334"/>
      <c r="D55" s="266"/>
      <c r="E55" s="266"/>
      <c r="F55" s="315"/>
      <c r="G55" s="42"/>
      <c r="H55" s="48"/>
      <c r="I55" s="48"/>
      <c r="J55" s="48"/>
      <c r="K55" s="48"/>
      <c r="L55" s="48"/>
      <c r="M55" s="48"/>
      <c r="Q55" s="65"/>
      <c r="T55" s="63"/>
    </row>
    <row r="56" spans="1:22" ht="21" customHeight="1">
      <c r="B56" s="303" t="s">
        <v>162</v>
      </c>
      <c r="C56" s="335"/>
      <c r="D56" s="266"/>
      <c r="E56" s="266"/>
      <c r="F56" s="315"/>
      <c r="G56" s="42"/>
      <c r="H56" s="48"/>
      <c r="I56" s="48"/>
      <c r="J56" s="48"/>
      <c r="K56" s="48"/>
      <c r="L56" s="48"/>
      <c r="M56" s="48"/>
      <c r="Q56" s="65"/>
      <c r="T56" s="63"/>
    </row>
    <row r="57" spans="1:22" ht="40.5" customHeight="1">
      <c r="B57" s="303" t="s">
        <v>163</v>
      </c>
      <c r="C57" s="335"/>
      <c r="D57" s="266"/>
      <c r="E57" s="266"/>
      <c r="F57" s="315"/>
      <c r="G57" s="42"/>
      <c r="H57" s="48"/>
      <c r="I57" s="48"/>
      <c r="J57" s="48"/>
      <c r="K57" s="48"/>
      <c r="L57" s="48"/>
      <c r="M57" s="48"/>
      <c r="Q57" s="65"/>
      <c r="T57" s="63"/>
    </row>
    <row r="58" spans="1:22" ht="21" customHeight="1">
      <c r="B58" s="312" t="s">
        <v>147</v>
      </c>
      <c r="C58" s="313"/>
      <c r="D58" s="336" t="str">
        <f>IF(VLOOKUP(B58,'Basic Info'!A:F,2,0)=0," ",VLOOKUP(B58,'Basic Info'!A:F,2,0))</f>
        <v xml:space="preserve"> </v>
      </c>
      <c r="E58" s="336"/>
      <c r="F58" s="337"/>
      <c r="G58" s="48"/>
      <c r="H58" s="48"/>
      <c r="I58" s="48"/>
      <c r="J58" s="48"/>
      <c r="N58" s="65"/>
      <c r="Q58" s="63"/>
    </row>
    <row r="59" spans="1:22" ht="21" customHeight="1">
      <c r="B59" s="312" t="s">
        <v>61</v>
      </c>
      <c r="C59" s="313"/>
      <c r="D59" s="267">
        <f>IF(VLOOKUP(B59,'Basic Info'!A:F,2,0)=0," ",VLOOKUP(B59,'Basic Info'!A:F,2,0))</f>
        <v>16</v>
      </c>
      <c r="E59" s="267"/>
      <c r="F59" s="333"/>
      <c r="Q59" s="65"/>
      <c r="T59" s="63"/>
    </row>
    <row r="60" spans="1:22" ht="21" customHeight="1">
      <c r="B60" s="312" t="s">
        <v>52</v>
      </c>
      <c r="C60" s="313"/>
      <c r="D60" s="267">
        <f>IF(VLOOKUP(B60,'Basic Info'!A:F,2,0)=0," ",VLOOKUP(B60,'Basic Info'!A:F,2,0))</f>
        <v>21.7</v>
      </c>
      <c r="E60" s="267"/>
      <c r="F60" s="333"/>
      <c r="G60" s="51" t="s">
        <v>125</v>
      </c>
      <c r="Q60" s="65"/>
      <c r="T60" s="63"/>
    </row>
    <row r="61" spans="1:22" ht="28">
      <c r="B61" s="312" t="s">
        <v>26</v>
      </c>
      <c r="C61" s="313"/>
      <c r="D61" s="331" t="str">
        <f>IF(VLOOKUP(B61,'Basic Info'!A:F,2,0)=0," ",VLOOKUP(B61,'Basic Info'!A:F,2,0))</f>
        <v xml:space="preserve"> </v>
      </c>
      <c r="E61" s="331"/>
      <c r="F61" s="332"/>
      <c r="G61" s="164" t="s">
        <v>124</v>
      </c>
      <c r="Q61" s="65"/>
      <c r="T61" s="63"/>
    </row>
    <row r="62" spans="1:22" ht="39.75" customHeight="1">
      <c r="B62" s="303" t="s">
        <v>148</v>
      </c>
      <c r="C62" s="304"/>
      <c r="D62" s="314"/>
      <c r="E62" s="266"/>
      <c r="F62" s="315"/>
      <c r="G62" s="50" t="s">
        <v>125</v>
      </c>
      <c r="Q62" s="65"/>
      <c r="T62" s="63"/>
    </row>
    <row r="63" spans="1:22" ht="39.75" customHeight="1">
      <c r="B63" s="312" t="s">
        <v>149</v>
      </c>
      <c r="C63" s="313"/>
      <c r="D63" s="314"/>
      <c r="E63" s="266"/>
      <c r="F63" s="315"/>
    </row>
    <row r="64" spans="1:22" ht="128.25" customHeight="1">
      <c r="B64" s="303" t="s">
        <v>150</v>
      </c>
      <c r="C64" s="304"/>
      <c r="D64" s="243" t="str">
        <f>(IF(VLOOKUP(MID(B64,10,11),'Basic Info'!A:F,2,0)="Ambient","Dry",IF(VLOOKUP(MID(B64,10,11),'Basic Info'!A:F,2,0)="Chilled","Chilled",IF(VLOOKUP(MID(B64,10,11),'Basic Info'!A:F,2,0)="Frozen","Frozen"," "))))</f>
        <v>Dry</v>
      </c>
      <c r="E64" s="243"/>
      <c r="F64" s="311"/>
      <c r="G64" s="35"/>
      <c r="H64" s="41"/>
      <c r="I64" s="41"/>
      <c r="J64" s="41"/>
      <c r="K64" s="41"/>
      <c r="L64" s="41"/>
      <c r="M64" s="41"/>
      <c r="O64" s="58"/>
      <c r="P64" s="59"/>
      <c r="Q64" s="59"/>
      <c r="R64" s="59"/>
      <c r="S64" s="59"/>
      <c r="T64" s="59"/>
      <c r="U64" s="59"/>
      <c r="V64" s="59"/>
    </row>
    <row r="65" spans="1:25" ht="39.75" customHeight="1">
      <c r="B65" s="312" t="s">
        <v>151</v>
      </c>
      <c r="C65" s="313"/>
      <c r="D65" s="159"/>
      <c r="E65" s="49" t="s">
        <v>152</v>
      </c>
      <c r="F65" s="160"/>
      <c r="H65" s="41"/>
      <c r="I65" s="41"/>
      <c r="J65" s="41"/>
      <c r="K65" s="41"/>
      <c r="L65" s="41"/>
      <c r="M65" s="41"/>
      <c r="O65" s="59"/>
      <c r="P65" s="59"/>
      <c r="Q65" s="59"/>
      <c r="R65" s="59"/>
      <c r="S65" s="59"/>
      <c r="T65" s="59"/>
      <c r="U65" s="59"/>
      <c r="V65" s="59"/>
    </row>
    <row r="66" spans="1:25" ht="39.75" customHeight="1">
      <c r="B66" s="312" t="s">
        <v>120</v>
      </c>
      <c r="C66" s="313"/>
      <c r="D66" s="243" t="str">
        <f>IF(VLOOKUP(B66,'Basic Info'!A:F,2,0)=0," ",VLOOKUP(B66,'Basic Info'!A:F,2,0))</f>
        <v xml:space="preserve"> </v>
      </c>
      <c r="E66" s="243"/>
      <c r="F66" s="311"/>
      <c r="O66" s="59"/>
      <c r="P66" s="59"/>
      <c r="Q66" s="59"/>
      <c r="R66" s="59"/>
      <c r="S66" s="59"/>
      <c r="T66" s="59"/>
      <c r="U66" s="59"/>
      <c r="V66" s="59"/>
    </row>
    <row r="67" spans="1:25" s="91" customFormat="1" ht="39.75" customHeight="1">
      <c r="A67" s="89"/>
      <c r="B67" s="312" t="s">
        <v>164</v>
      </c>
      <c r="C67" s="313"/>
      <c r="D67" s="314"/>
      <c r="E67" s="266"/>
      <c r="F67" s="315"/>
      <c r="G67" s="90"/>
    </row>
    <row r="68" spans="1:25" ht="90.75" customHeight="1">
      <c r="B68" s="303" t="s">
        <v>153</v>
      </c>
      <c r="C68" s="304"/>
      <c r="D68" s="122"/>
      <c r="E68" s="96"/>
      <c r="F68" s="121"/>
      <c r="G68" s="51" t="s">
        <v>125</v>
      </c>
      <c r="O68" s="41"/>
      <c r="P68" s="41"/>
      <c r="Q68" s="41"/>
      <c r="R68" s="41"/>
      <c r="S68" s="41"/>
      <c r="T68" s="41"/>
      <c r="U68" s="41"/>
      <c r="V68" s="41"/>
      <c r="Y68" s="68"/>
    </row>
    <row r="69" spans="1:25" ht="72.75" customHeight="1" thickBot="1">
      <c r="B69" s="305" t="s">
        <v>154</v>
      </c>
      <c r="C69" s="306"/>
      <c r="D69" s="307"/>
      <c r="E69" s="308"/>
      <c r="F69" s="309"/>
      <c r="G69" s="51"/>
      <c r="O69" s="60"/>
      <c r="P69" s="47"/>
      <c r="Q69" s="61"/>
      <c r="R69" s="61"/>
      <c r="S69" s="62"/>
      <c r="T69" s="47"/>
      <c r="U69" s="61"/>
      <c r="V69" s="61"/>
      <c r="Y69" s="68"/>
    </row>
    <row r="70" spans="1:25" ht="60" customHeight="1">
      <c r="E70" s="33"/>
      <c r="F70" s="33"/>
      <c r="O70" s="60"/>
      <c r="P70" s="47"/>
      <c r="Q70" s="61"/>
      <c r="R70" s="61"/>
      <c r="S70" s="62"/>
      <c r="T70" s="47"/>
      <c r="U70" s="61"/>
      <c r="V70" s="61"/>
      <c r="Y70" s="68"/>
    </row>
    <row r="71" spans="1:25" ht="18">
      <c r="B71" s="310"/>
      <c r="C71" s="310"/>
      <c r="D71" s="310"/>
      <c r="E71" s="310"/>
      <c r="F71" s="310"/>
      <c r="Q71" s="61"/>
      <c r="R71" s="63"/>
      <c r="U71" s="61"/>
      <c r="V71" s="63"/>
      <c r="Y71" s="68"/>
    </row>
    <row r="72" spans="1:25" ht="13.5" hidden="1" customHeight="1">
      <c r="E72" s="33"/>
      <c r="F72" s="33"/>
      <c r="G72" s="51"/>
      <c r="Q72" s="61"/>
      <c r="R72" s="63"/>
      <c r="U72" s="61"/>
      <c r="V72" s="63"/>
      <c r="Y72" s="68"/>
    </row>
    <row r="73" spans="1:25" ht="13.5" hidden="1" customHeight="1">
      <c r="B73" s="69"/>
      <c r="C73" s="69"/>
      <c r="D73" s="70"/>
      <c r="E73" s="70"/>
      <c r="F73" s="70"/>
      <c r="G73" s="51"/>
      <c r="Q73" s="61"/>
      <c r="R73" s="63"/>
      <c r="U73" s="61"/>
      <c r="V73" s="63"/>
      <c r="Y73" s="68"/>
    </row>
    <row r="74" spans="1:25" ht="13.5" hidden="1" customHeight="1">
      <c r="B74" s="64"/>
      <c r="C74" s="64"/>
      <c r="D74" s="66"/>
      <c r="E74" s="71"/>
      <c r="F74" s="72"/>
      <c r="G74" s="51"/>
      <c r="I74" s="41"/>
      <c r="Q74" s="61"/>
      <c r="R74" s="63"/>
      <c r="U74" s="61"/>
      <c r="V74" s="63"/>
      <c r="Y74" s="68"/>
    </row>
    <row r="75" spans="1:25" ht="13.5" hidden="1" customHeight="1">
      <c r="B75" s="64"/>
      <c r="C75" s="64"/>
      <c r="D75" s="66"/>
      <c r="E75" s="71"/>
      <c r="F75" s="72"/>
      <c r="G75" s="51"/>
      <c r="I75" s="53"/>
      <c r="Q75" s="61"/>
      <c r="R75" s="63"/>
      <c r="U75" s="61"/>
      <c r="V75" s="63"/>
      <c r="Y75" s="68"/>
    </row>
    <row r="76" spans="1:25" ht="13.5" hidden="1" customHeight="1">
      <c r="B76" s="64"/>
      <c r="C76" s="64"/>
      <c r="D76" s="66"/>
      <c r="E76" s="71"/>
      <c r="F76" s="72"/>
      <c r="G76" s="51"/>
      <c r="H76" s="54"/>
      <c r="I76" s="53"/>
      <c r="J76" s="54"/>
      <c r="K76" s="54"/>
      <c r="Q76" s="61"/>
      <c r="R76" s="63"/>
      <c r="U76" s="61"/>
      <c r="V76" s="63"/>
    </row>
    <row r="77" spans="1:25" ht="13.5" hidden="1" customHeight="1">
      <c r="B77" s="64"/>
      <c r="C77" s="64"/>
      <c r="D77" s="66"/>
      <c r="E77" s="71"/>
      <c r="F77" s="72"/>
      <c r="G77" s="51"/>
      <c r="H77" s="54"/>
      <c r="I77" s="53"/>
      <c r="J77" s="54"/>
      <c r="K77" s="54"/>
      <c r="Q77" s="61"/>
      <c r="R77" s="63"/>
      <c r="U77" s="61"/>
      <c r="V77" s="63"/>
    </row>
    <row r="78" spans="1:25" ht="13.5" hidden="1" customHeight="1">
      <c r="B78" s="64"/>
      <c r="C78" s="64"/>
      <c r="D78" s="66"/>
      <c r="E78" s="71"/>
      <c r="F78" s="72"/>
      <c r="G78" s="51"/>
      <c r="I78" s="53"/>
      <c r="J78" s="54"/>
      <c r="K78" s="54"/>
      <c r="Q78" s="61"/>
      <c r="R78" s="63"/>
      <c r="U78" s="61"/>
      <c r="V78" s="63"/>
    </row>
    <row r="79" spans="1:25" ht="13.5" hidden="1" customHeight="1">
      <c r="B79" s="64"/>
      <c r="C79" s="64"/>
      <c r="D79" s="66"/>
      <c r="E79" s="71"/>
      <c r="F79" s="72"/>
      <c r="G79" s="51"/>
      <c r="I79" s="53"/>
      <c r="Q79" s="61"/>
      <c r="R79" s="63"/>
      <c r="U79" s="61"/>
      <c r="V79" s="63"/>
    </row>
    <row r="80" spans="1:25" ht="13.5" hidden="1" customHeight="1">
      <c r="B80" s="64"/>
      <c r="C80" s="64"/>
      <c r="D80" s="66"/>
      <c r="E80" s="71"/>
      <c r="F80" s="72"/>
      <c r="G80" s="51"/>
      <c r="I80" s="53"/>
      <c r="Q80" s="61"/>
      <c r="R80" s="63"/>
      <c r="U80" s="61"/>
      <c r="V80" s="63"/>
    </row>
    <row r="81" spans="2:23" ht="13.5" hidden="1" customHeight="1">
      <c r="B81" s="69"/>
      <c r="C81" s="69"/>
      <c r="D81" s="73"/>
      <c r="E81" s="74"/>
      <c r="F81" s="72"/>
      <c r="G81" s="51"/>
      <c r="I81" s="53"/>
      <c r="Q81" s="61"/>
      <c r="R81" s="63"/>
      <c r="U81" s="61"/>
      <c r="V81" s="63"/>
    </row>
    <row r="82" spans="2:23" ht="13.5" hidden="1" customHeight="1">
      <c r="B82" s="64"/>
      <c r="C82" s="64"/>
      <c r="D82" s="66"/>
      <c r="E82" s="71"/>
      <c r="F82" s="72"/>
      <c r="G82" s="51"/>
      <c r="I82" s="53"/>
      <c r="Q82" s="61"/>
      <c r="R82" s="63"/>
      <c r="U82" s="61"/>
      <c r="V82" s="63"/>
    </row>
    <row r="83" spans="2:23" ht="13.5" hidden="1" customHeight="1">
      <c r="B83" s="64"/>
      <c r="C83" s="64"/>
      <c r="D83" s="66"/>
      <c r="E83" s="71"/>
      <c r="F83" s="72"/>
      <c r="G83" s="51"/>
      <c r="I83" s="53"/>
      <c r="Q83" s="61"/>
      <c r="R83" s="63"/>
      <c r="U83" s="61"/>
      <c r="V83" s="63"/>
    </row>
    <row r="84" spans="2:23" ht="13.5" hidden="1" customHeight="1">
      <c r="B84" s="64"/>
      <c r="C84" s="64"/>
      <c r="D84" s="66"/>
      <c r="E84" s="71"/>
      <c r="F84" s="72"/>
      <c r="G84" s="51"/>
      <c r="I84" s="53"/>
      <c r="Q84" s="61"/>
      <c r="R84" s="63"/>
      <c r="U84" s="61"/>
      <c r="V84" s="63"/>
    </row>
    <row r="85" spans="2:23" ht="13.5" hidden="1" customHeight="1">
      <c r="B85" s="69"/>
      <c r="C85" s="69"/>
      <c r="D85" s="73"/>
      <c r="E85" s="74"/>
      <c r="F85" s="72"/>
      <c r="G85" s="51"/>
      <c r="I85" s="53"/>
      <c r="Q85" s="61"/>
      <c r="R85" s="63"/>
      <c r="U85" s="61"/>
      <c r="V85" s="63"/>
    </row>
    <row r="86" spans="2:23" ht="13.5" hidden="1" customHeight="1">
      <c r="B86" s="64"/>
      <c r="C86" s="64"/>
      <c r="D86" s="66"/>
      <c r="E86" s="71"/>
      <c r="F86" s="72"/>
      <c r="G86" s="51"/>
      <c r="I86" s="53"/>
      <c r="O86" s="41"/>
      <c r="P86" s="41"/>
      <c r="Q86" s="41"/>
      <c r="R86" s="41"/>
      <c r="S86" s="41"/>
      <c r="T86" s="41"/>
      <c r="U86" s="47"/>
      <c r="V86" s="47"/>
      <c r="W86" s="47"/>
    </row>
    <row r="87" spans="2:23" ht="13.5" hidden="1" customHeight="1">
      <c r="B87" s="64"/>
      <c r="C87" s="64"/>
      <c r="D87" s="66"/>
      <c r="E87" s="71"/>
      <c r="F87" s="72"/>
      <c r="G87" s="51"/>
      <c r="I87" s="53"/>
      <c r="O87" s="41"/>
      <c r="P87" s="41"/>
      <c r="Q87" s="41"/>
      <c r="R87" s="41"/>
      <c r="S87" s="41"/>
      <c r="T87" s="41"/>
      <c r="U87" s="47"/>
      <c r="V87" s="47"/>
      <c r="W87" s="47"/>
    </row>
    <row r="88" spans="2:23" ht="13.5" hidden="1" customHeight="1">
      <c r="B88" s="64"/>
      <c r="C88" s="64"/>
      <c r="D88" s="66"/>
      <c r="E88" s="71"/>
      <c r="F88" s="72"/>
      <c r="G88" s="51"/>
      <c r="I88" s="53"/>
      <c r="O88" s="61"/>
      <c r="P88" s="61"/>
      <c r="Q88" s="61"/>
      <c r="R88" s="61"/>
      <c r="S88" s="61"/>
      <c r="T88" s="61"/>
      <c r="U88" s="47"/>
      <c r="V88" s="47"/>
      <c r="W88" s="47"/>
    </row>
    <row r="89" spans="2:23" ht="13.5" hidden="1" customHeight="1">
      <c r="B89" s="64"/>
      <c r="C89" s="64"/>
      <c r="D89" s="66"/>
      <c r="E89" s="71"/>
      <c r="F89" s="72"/>
      <c r="G89" s="51"/>
      <c r="I89" s="53"/>
      <c r="Q89" s="65"/>
      <c r="T89" s="63"/>
    </row>
    <row r="90" spans="2:23" ht="13.5" hidden="1" customHeight="1">
      <c r="B90" s="69"/>
      <c r="C90" s="69"/>
      <c r="D90" s="73"/>
      <c r="E90" s="74"/>
      <c r="F90" s="72"/>
      <c r="G90" s="51"/>
      <c r="I90" s="53"/>
      <c r="P90" s="41"/>
      <c r="Q90" s="65"/>
      <c r="T90" s="63"/>
    </row>
    <row r="91" spans="2:23" ht="13.5" hidden="1" customHeight="1">
      <c r="B91" s="69"/>
      <c r="C91" s="69"/>
      <c r="D91" s="73"/>
      <c r="E91" s="74"/>
      <c r="F91" s="72"/>
      <c r="I91" s="53"/>
      <c r="P91" s="41"/>
      <c r="Q91" s="65"/>
      <c r="T91" s="63"/>
    </row>
    <row r="92" spans="2:23" ht="15">
      <c r="E92" s="33"/>
      <c r="F92" s="75"/>
      <c r="I92" s="53"/>
      <c r="P92" s="41"/>
      <c r="Q92" s="65"/>
      <c r="T92" s="63"/>
    </row>
    <row r="93" spans="2:23" ht="15">
      <c r="C93" s="70"/>
      <c r="D93" s="70"/>
      <c r="F93" s="75" t="b">
        <v>0</v>
      </c>
      <c r="P93" s="41"/>
      <c r="Q93" s="65"/>
      <c r="T93" s="63"/>
    </row>
    <row r="94" spans="2:23" ht="15">
      <c r="B94" s="33"/>
      <c r="C94" s="33"/>
      <c r="D94" s="76"/>
      <c r="F94" s="75"/>
      <c r="G94" s="51"/>
      <c r="Q94" s="65"/>
      <c r="T94" s="63"/>
    </row>
    <row r="95" spans="2:23" ht="15">
      <c r="B95" s="33"/>
      <c r="C95" s="33"/>
      <c r="D95" s="76"/>
      <c r="F95" s="75"/>
      <c r="G95" s="77"/>
      <c r="Q95" s="65"/>
      <c r="T95" s="63"/>
    </row>
    <row r="96" spans="2:23" ht="15">
      <c r="B96" s="33"/>
      <c r="C96" s="33"/>
      <c r="D96" s="76"/>
      <c r="F96" s="75"/>
      <c r="G96" s="77"/>
      <c r="Q96" s="65"/>
      <c r="T96" s="63"/>
    </row>
    <row r="97" spans="2:20" ht="15">
      <c r="B97" s="33"/>
      <c r="C97" s="33"/>
      <c r="D97" s="76"/>
      <c r="F97" s="75"/>
      <c r="G97" s="77"/>
      <c r="Q97" s="65"/>
      <c r="T97" s="63"/>
    </row>
    <row r="98" spans="2:20" ht="15">
      <c r="B98" s="33"/>
      <c r="C98" s="33"/>
      <c r="D98" s="76"/>
      <c r="F98" s="75"/>
      <c r="G98" s="77"/>
      <c r="Q98" s="65"/>
      <c r="T98" s="63"/>
    </row>
    <row r="99" spans="2:20" ht="13.5" hidden="1" customHeight="1">
      <c r="F99" s="78"/>
      <c r="G99" s="77"/>
      <c r="Q99" s="65"/>
      <c r="T99" s="63"/>
    </row>
    <row r="100" spans="2:20" ht="13.5" hidden="1" customHeight="1">
      <c r="B100" s="70"/>
      <c r="C100" s="70"/>
      <c r="D100" s="79"/>
      <c r="E100" s="79"/>
      <c r="F100" s="78"/>
      <c r="G100" s="51"/>
      <c r="Q100" s="65"/>
      <c r="T100" s="63"/>
    </row>
    <row r="101" spans="2:20" ht="13.5" hidden="1" customHeight="1">
      <c r="B101" s="70"/>
      <c r="C101" s="70"/>
      <c r="D101" s="33"/>
      <c r="E101" s="80"/>
      <c r="F101" s="78"/>
      <c r="Q101" s="65"/>
      <c r="T101" s="63"/>
    </row>
    <row r="102" spans="2:20" ht="13.5" hidden="1" customHeight="1">
      <c r="Q102" s="65"/>
      <c r="T102" s="63"/>
    </row>
    <row r="103" spans="2:20" ht="13.5" hidden="1" customHeight="1">
      <c r="B103" s="70"/>
      <c r="C103" s="70"/>
      <c r="D103" s="81"/>
      <c r="Q103" s="65"/>
      <c r="T103" s="63"/>
    </row>
    <row r="104" spans="2:20" ht="13.5" hidden="1" customHeight="1">
      <c r="B104" s="70"/>
      <c r="C104" s="70"/>
      <c r="G104" s="51"/>
      <c r="Q104" s="65"/>
      <c r="T104" s="63"/>
    </row>
    <row r="105" spans="2:20" ht="13.5" hidden="1" customHeight="1">
      <c r="B105" s="70"/>
      <c r="C105" s="70"/>
      <c r="D105" s="33"/>
      <c r="G105" s="51"/>
      <c r="Q105" s="65"/>
      <c r="T105" s="63"/>
    </row>
    <row r="106" spans="2:20" ht="13.5" hidden="1" customHeight="1">
      <c r="B106" s="70"/>
      <c r="C106" s="70"/>
      <c r="D106" s="33"/>
      <c r="G106" s="51"/>
    </row>
    <row r="107" spans="2:20">
      <c r="G107" s="51"/>
    </row>
    <row r="114" spans="4:6">
      <c r="E114" s="82"/>
    </row>
    <row r="118" spans="4:6">
      <c r="D118" s="79"/>
      <c r="F118" s="33"/>
    </row>
  </sheetData>
  <sheetProtection algorithmName="SHA-512" hashValue="vAtLmOSudlQaRywFerQL86bVfkc+AaJsP1TzDOm7OQBnVdnM4Ojfne+aBHcYa/67B774iQ13hFxPR7+2J45YDg==" saltValue="jxXRitKDB2ftpRVzkiunxg==" spinCount="100000" sheet="1" objects="1" scenarios="1"/>
  <mergeCells count="76">
    <mergeCell ref="B53:C53"/>
    <mergeCell ref="D53:F53"/>
    <mergeCell ref="C46:F46"/>
    <mergeCell ref="B46:B47"/>
    <mergeCell ref="D52:E52"/>
    <mergeCell ref="D47:E47"/>
    <mergeCell ref="D48:E48"/>
    <mergeCell ref="D49:E49"/>
    <mergeCell ref="D50:E50"/>
    <mergeCell ref="D51:E51"/>
    <mergeCell ref="B62:C62"/>
    <mergeCell ref="D62:F62"/>
    <mergeCell ref="B63:C63"/>
    <mergeCell ref="D63:F63"/>
    <mergeCell ref="B58:C58"/>
    <mergeCell ref="D58:F58"/>
    <mergeCell ref="B59:C59"/>
    <mergeCell ref="D59:F59"/>
    <mergeCell ref="D54:F54"/>
    <mergeCell ref="D55:F55"/>
    <mergeCell ref="B54:C54"/>
    <mergeCell ref="B61:C61"/>
    <mergeCell ref="D61:F61"/>
    <mergeCell ref="B60:C60"/>
    <mergeCell ref="D60:F60"/>
    <mergeCell ref="B55:C55"/>
    <mergeCell ref="B56:C56"/>
    <mergeCell ref="B57:C57"/>
    <mergeCell ref="D56:F56"/>
    <mergeCell ref="D57:F57"/>
    <mergeCell ref="B26:B30"/>
    <mergeCell ref="D26:F26"/>
    <mergeCell ref="D27:F27"/>
    <mergeCell ref="D28:F28"/>
    <mergeCell ref="D29:F29"/>
    <mergeCell ref="D30:F30"/>
    <mergeCell ref="C32:C37"/>
    <mergeCell ref="D32:D37"/>
    <mergeCell ref="B32:B44"/>
    <mergeCell ref="C38:C40"/>
    <mergeCell ref="D38:D40"/>
    <mergeCell ref="C43:C44"/>
    <mergeCell ref="D43:D44"/>
    <mergeCell ref="B21:B25"/>
    <mergeCell ref="D21:F21"/>
    <mergeCell ref="D22:F22"/>
    <mergeCell ref="D23:F23"/>
    <mergeCell ref="D24:F24"/>
    <mergeCell ref="D25:F25"/>
    <mergeCell ref="B68:C68"/>
    <mergeCell ref="B69:C69"/>
    <mergeCell ref="D69:F69"/>
    <mergeCell ref="B71:F71"/>
    <mergeCell ref="B64:C64"/>
    <mergeCell ref="D64:F64"/>
    <mergeCell ref="B65:C65"/>
    <mergeCell ref="B66:C66"/>
    <mergeCell ref="D66:F66"/>
    <mergeCell ref="B67:C67"/>
    <mergeCell ref="D67:F67"/>
    <mergeCell ref="D14:F14"/>
    <mergeCell ref="D15:F15"/>
    <mergeCell ref="B16:B20"/>
    <mergeCell ref="D16:F16"/>
    <mergeCell ref="D17:F17"/>
    <mergeCell ref="D18:F18"/>
    <mergeCell ref="D19:F19"/>
    <mergeCell ref="D20:F20"/>
    <mergeCell ref="B11:B15"/>
    <mergeCell ref="D11:F11"/>
    <mergeCell ref="D12:F12"/>
    <mergeCell ref="B10:C10"/>
    <mergeCell ref="D10:E10"/>
    <mergeCell ref="E6:F6"/>
    <mergeCell ref="A1:F2"/>
    <mergeCell ref="D13:F13"/>
  </mergeCells>
  <conditionalFormatting sqref="H75:H77 G72:G73">
    <cfRule type="expression" dxfId="4" priority="8">
      <formula>ISERR($G$72)</formula>
    </cfRule>
    <cfRule type="expression" dxfId="3" priority="9">
      <formula>$G$72=FEHLER</formula>
    </cfRule>
  </conditionalFormatting>
  <conditionalFormatting sqref="D11:F20 D32:D44 D54:F57 D62:F63 D65 F65 D67 D69">
    <cfRule type="containsBlanks" dxfId="2" priority="4">
      <formula>LEN(TRIM(D11))=0</formula>
    </cfRule>
  </conditionalFormatting>
  <conditionalFormatting sqref="D53:F53">
    <cfRule type="containsBlanks" dxfId="1" priority="2">
      <formula>LEN(TRIM(D53))=0</formula>
    </cfRule>
  </conditionalFormatting>
  <conditionalFormatting sqref="B48:B52">
    <cfRule type="containsBlanks" dxfId="0" priority="1">
      <formula>LEN(TRIM(B48))=0</formula>
    </cfRule>
  </conditionalFormatting>
  <dataValidations count="9">
    <dataValidation errorStyle="warning" allowBlank="1" showInputMessage="1" showErrorMessage="1" sqref="F65 D65" xr:uid="{00000000-0002-0000-0400-000000000000}"/>
    <dataValidation type="textLength" operator="equal" allowBlank="1" showInputMessage="1" showErrorMessage="1" errorTitle="5-stellige Lieferantennummer!" sqref="F10" xr:uid="{00000000-0002-0000-0400-000001000000}">
      <formula1>5</formula1>
    </dataValidation>
    <dataValidation type="decimal" operator="greaterThanOrEqual" allowBlank="1" showInputMessage="1" showErrorMessage="1" sqref="F32:F45" xr:uid="{00000000-0002-0000-0400-000002000000}">
      <formula1>0</formula1>
    </dataValidation>
    <dataValidation type="whole" operator="greaterThanOrEqual" allowBlank="1" showInputMessage="1" showErrorMessage="1" sqref="D41:D43 D32 D38" xr:uid="{00000000-0002-0000-0400-000003000000}">
      <formula1>0</formula1>
    </dataValidation>
    <dataValidation type="list" allowBlank="1" showInputMessage="1" showErrorMessage="1" sqref="D45:E45" xr:uid="{00000000-0002-0000-0400-000004000000}">
      <formula1>"5%,20%,nein,-"</formula1>
    </dataValidation>
    <dataValidation type="list" operator="greaterThanOrEqual" allowBlank="1" showInputMessage="1" showErrorMessage="1" sqref="D62:F62" xr:uid="{00000000-0002-0000-0400-000005000000}">
      <formula1>"Yes, No"</formula1>
    </dataValidation>
    <dataValidation type="list" allowBlank="1" showInputMessage="1" showErrorMessage="1" sqref="D54:F54" xr:uid="{00000000-0002-0000-0400-000007000000}">
      <formula1>"Core Range, Seasonal"</formula1>
    </dataValidation>
    <dataValidation type="list" allowBlank="1" showInputMessage="1" showErrorMessage="1" sqref="D63:F63" xr:uid="{00000000-0002-0000-0400-000008000000}">
      <formula1>"Yes, No"</formula1>
    </dataValidation>
    <dataValidation type="list" allowBlank="1" showInputMessage="1" showErrorMessage="1" sqref="D67" xr:uid="{00000000-0002-0000-0400-000009000000}">
      <formula1>"Yes,No"</formula1>
    </dataValidation>
  </dataValidations>
  <pageMargins left="0.7" right="0.7" top="0.78740157499999996" bottom="0.78740157499999996" header="0.3" footer="0.3"/>
  <pageSetup orientation="portrait" r:id="rId1"/>
  <ignoredErrors>
    <ignoredError sqref="D6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6" r:id="rId4" name="Check Box 42">
              <controlPr defaultSize="0" autoFill="0" autoLine="0" autoPict="0">
                <anchor moveWithCells="1">
                  <from>
                    <xdr:col>3</xdr:col>
                    <xdr:colOff>88900</xdr:colOff>
                    <xdr:row>67</xdr:row>
                    <xdr:rowOff>279400</xdr:rowOff>
                  </from>
                  <to>
                    <xdr:col>3</xdr:col>
                    <xdr:colOff>1536700</xdr:colOff>
                    <xdr:row>67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5" name="Check Box 43">
              <controlPr defaultSize="0" autoFill="0" autoLine="0" autoPict="0">
                <anchor moveWithCells="1">
                  <from>
                    <xdr:col>3</xdr:col>
                    <xdr:colOff>88900</xdr:colOff>
                    <xdr:row>67</xdr:row>
                    <xdr:rowOff>165100</xdr:rowOff>
                  </from>
                  <to>
                    <xdr:col>3</xdr:col>
                    <xdr:colOff>1536700</xdr:colOff>
                    <xdr:row>67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6" name="Check Box 44">
              <controlPr defaultSize="0" autoFill="0" autoLine="0" autoPict="0">
                <anchor moveWithCells="1">
                  <from>
                    <xdr:col>3</xdr:col>
                    <xdr:colOff>88900</xdr:colOff>
                    <xdr:row>67</xdr:row>
                    <xdr:rowOff>63500</xdr:rowOff>
                  </from>
                  <to>
                    <xdr:col>3</xdr:col>
                    <xdr:colOff>1993900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7" name="Check Box 45">
              <controlPr defaultSize="0" autoFill="0" autoLine="0" autoPict="0">
                <anchor moveWithCells="1">
                  <from>
                    <xdr:col>3</xdr:col>
                    <xdr:colOff>88900</xdr:colOff>
                    <xdr:row>67</xdr:row>
                    <xdr:rowOff>520700</xdr:rowOff>
                  </from>
                  <to>
                    <xdr:col>3</xdr:col>
                    <xdr:colOff>1993900</xdr:colOff>
                    <xdr:row>67</xdr:row>
                    <xdr:rowOff>711200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8" name="Check Box 46">
              <controlPr defaultSize="0" autoFill="0" autoLine="0" autoPict="0">
                <anchor moveWithCells="1">
                  <from>
                    <xdr:col>3</xdr:col>
                    <xdr:colOff>88900</xdr:colOff>
                    <xdr:row>67</xdr:row>
                    <xdr:rowOff>685800</xdr:rowOff>
                  </from>
                  <to>
                    <xdr:col>3</xdr:col>
                    <xdr:colOff>1993900</xdr:colOff>
                    <xdr:row>67</xdr:row>
                    <xdr:rowOff>901700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9" name="Check Box 47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330200</xdr:rowOff>
                  </from>
                  <to>
                    <xdr:col>4</xdr:col>
                    <xdr:colOff>2374900</xdr:colOff>
                    <xdr:row>67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10" name="Check Box 48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190500</xdr:rowOff>
                  </from>
                  <to>
                    <xdr:col>4</xdr:col>
                    <xdr:colOff>2374900</xdr:colOff>
                    <xdr:row>67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11" name="Check Box 49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622300</xdr:rowOff>
                  </from>
                  <to>
                    <xdr:col>4</xdr:col>
                    <xdr:colOff>2374900</xdr:colOff>
                    <xdr:row>67</xdr:row>
                    <xdr:rowOff>1041400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12" name="Check Box 50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38100</xdr:rowOff>
                  </from>
                  <to>
                    <xdr:col>4</xdr:col>
                    <xdr:colOff>2374900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13" name="Check Box 51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533400</xdr:rowOff>
                  </from>
                  <to>
                    <xdr:col>4</xdr:col>
                    <xdr:colOff>2374900</xdr:colOff>
                    <xdr:row>67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14" name="Check Box 52">
              <controlPr defaultSize="0" autoFill="0" autoLine="0" autoPict="0">
                <anchor moveWithCells="1">
                  <from>
                    <xdr:col>5</xdr:col>
                    <xdr:colOff>406400</xdr:colOff>
                    <xdr:row>67</xdr:row>
                    <xdr:rowOff>38100</xdr:rowOff>
                  </from>
                  <to>
                    <xdr:col>5</xdr:col>
                    <xdr:colOff>2324100</xdr:colOff>
                    <xdr:row>67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>
    <tabColor rgb="FFFFFF99"/>
  </sheetPr>
  <dimension ref="A1:AL97"/>
  <sheetViews>
    <sheetView showGridLines="0" topLeftCell="D40" zoomScale="70" zoomScaleNormal="70" workbookViewId="0">
      <selection activeCell="AE100" sqref="AE100"/>
    </sheetView>
  </sheetViews>
  <sheetFormatPr baseColWidth="10" defaultColWidth="11.5" defaultRowHeight="15"/>
  <cols>
    <col min="1" max="1" width="11.5" customWidth="1"/>
    <col min="12" max="12" width="2.33203125" customWidth="1"/>
    <col min="25" max="25" width="2.33203125" customWidth="1"/>
    <col min="38" max="38" width="2.33203125" customWidth="1"/>
    <col min="40" max="40" width="39.6640625" bestFit="1" customWidth="1"/>
  </cols>
  <sheetData>
    <row r="1" spans="12:38">
      <c r="L1" s="151"/>
      <c r="Y1" s="151"/>
      <c r="AL1" s="151"/>
    </row>
    <row r="2" spans="12:38">
      <c r="L2" s="151"/>
      <c r="Y2" s="151"/>
      <c r="AL2" s="151"/>
    </row>
    <row r="3" spans="12:38">
      <c r="L3" s="151"/>
      <c r="Y3" s="151"/>
      <c r="AL3" s="151"/>
    </row>
    <row r="4" spans="12:38">
      <c r="L4" s="151"/>
      <c r="Y4" s="151"/>
      <c r="AL4" s="151"/>
    </row>
    <row r="5" spans="12:38">
      <c r="L5" s="151"/>
      <c r="Y5" s="151"/>
      <c r="AL5" s="151"/>
    </row>
    <row r="6" spans="12:38">
      <c r="L6" s="151"/>
      <c r="Y6" s="151"/>
      <c r="AL6" s="151"/>
    </row>
    <row r="7" spans="12:38">
      <c r="L7" s="151"/>
      <c r="Y7" s="151"/>
      <c r="AL7" s="151"/>
    </row>
    <row r="8" spans="12:38">
      <c r="L8" s="151"/>
      <c r="Y8" s="151"/>
      <c r="AL8" s="151"/>
    </row>
    <row r="9" spans="12:38">
      <c r="L9" s="151"/>
      <c r="Y9" s="151"/>
      <c r="AL9" s="151"/>
    </row>
    <row r="10" spans="12:38">
      <c r="L10" s="151"/>
      <c r="Y10" s="151"/>
      <c r="AL10" s="151"/>
    </row>
    <row r="11" spans="12:38">
      <c r="L11" s="151"/>
      <c r="Y11" s="151"/>
      <c r="AL11" s="151"/>
    </row>
    <row r="12" spans="12:38">
      <c r="L12" s="151"/>
      <c r="Y12" s="151"/>
      <c r="AL12" s="151"/>
    </row>
    <row r="13" spans="12:38">
      <c r="L13" s="151"/>
      <c r="Y13" s="151"/>
      <c r="AL13" s="151"/>
    </row>
    <row r="14" spans="12:38">
      <c r="L14" s="151"/>
      <c r="Y14" s="151"/>
      <c r="AL14" s="151"/>
    </row>
    <row r="15" spans="12:38">
      <c r="L15" s="151"/>
      <c r="Y15" s="151"/>
      <c r="AL15" s="151"/>
    </row>
    <row r="16" spans="12:38">
      <c r="L16" s="151"/>
      <c r="Y16" s="151"/>
      <c r="AL16" s="151"/>
    </row>
    <row r="17" spans="12:38">
      <c r="L17" s="151"/>
      <c r="Y17" s="151"/>
      <c r="AL17" s="151"/>
    </row>
    <row r="18" spans="12:38">
      <c r="L18" s="151"/>
      <c r="Y18" s="151"/>
      <c r="AL18" s="151"/>
    </row>
    <row r="19" spans="12:38">
      <c r="L19" s="151"/>
      <c r="Y19" s="151"/>
      <c r="AL19" s="151"/>
    </row>
    <row r="20" spans="12:38">
      <c r="L20" s="151"/>
      <c r="Y20" s="151"/>
      <c r="AL20" s="151"/>
    </row>
    <row r="21" spans="12:38">
      <c r="L21" s="151"/>
      <c r="Y21" s="151"/>
      <c r="AL21" s="151"/>
    </row>
    <row r="22" spans="12:38">
      <c r="L22" s="151"/>
      <c r="Y22" s="151"/>
      <c r="AL22" s="151"/>
    </row>
    <row r="23" spans="12:38">
      <c r="L23" s="151"/>
      <c r="Y23" s="151"/>
      <c r="AL23" s="151"/>
    </row>
    <row r="24" spans="12:38">
      <c r="L24" s="151"/>
      <c r="Y24" s="151"/>
      <c r="AL24" s="151"/>
    </row>
    <row r="25" spans="12:38">
      <c r="L25" s="151"/>
      <c r="Y25" s="151"/>
      <c r="AL25" s="151"/>
    </row>
    <row r="26" spans="12:38">
      <c r="L26" s="151"/>
      <c r="Y26" s="151"/>
      <c r="AL26" s="151"/>
    </row>
    <row r="27" spans="12:38">
      <c r="L27" s="151"/>
      <c r="Y27" s="151"/>
      <c r="AL27" s="151"/>
    </row>
    <row r="28" spans="12:38">
      <c r="L28" s="151"/>
      <c r="Y28" s="151"/>
      <c r="AL28" s="151"/>
    </row>
    <row r="29" spans="12:38">
      <c r="L29" s="151"/>
      <c r="Y29" s="151"/>
      <c r="AL29" s="151"/>
    </row>
    <row r="30" spans="12:38">
      <c r="L30" s="151"/>
      <c r="Y30" s="151"/>
      <c r="AL30" s="151"/>
    </row>
    <row r="31" spans="12:38">
      <c r="L31" s="151"/>
      <c r="Y31" s="151"/>
      <c r="AL31" s="151"/>
    </row>
    <row r="32" spans="12:38">
      <c r="L32" s="151"/>
      <c r="Y32" s="151"/>
      <c r="AL32" s="151"/>
    </row>
    <row r="33" spans="12:38">
      <c r="L33" s="151"/>
      <c r="Y33" s="151"/>
      <c r="AL33" s="151"/>
    </row>
    <row r="34" spans="12:38">
      <c r="L34" s="151"/>
      <c r="Y34" s="151"/>
      <c r="AL34" s="151"/>
    </row>
    <row r="35" spans="12:38">
      <c r="L35" s="151"/>
      <c r="Y35" s="151"/>
      <c r="AL35" s="151"/>
    </row>
    <row r="36" spans="12:38">
      <c r="L36" s="151"/>
      <c r="Y36" s="151"/>
      <c r="AL36" s="151"/>
    </row>
    <row r="37" spans="12:38">
      <c r="L37" s="151"/>
      <c r="Y37" s="151"/>
      <c r="AL37" s="151"/>
    </row>
    <row r="38" spans="12:38">
      <c r="L38" s="151"/>
      <c r="Y38" s="151"/>
      <c r="AL38" s="151"/>
    </row>
    <row r="39" spans="12:38">
      <c r="L39" s="151"/>
      <c r="Y39" s="151"/>
      <c r="AL39" s="151"/>
    </row>
    <row r="40" spans="12:38">
      <c r="L40" s="151"/>
      <c r="Y40" s="151"/>
      <c r="AL40" s="151"/>
    </row>
    <row r="41" spans="12:38">
      <c r="L41" s="151"/>
      <c r="Y41" s="151"/>
      <c r="AL41" s="151"/>
    </row>
    <row r="42" spans="12:38">
      <c r="L42" s="151"/>
      <c r="Y42" s="151"/>
      <c r="AL42" s="151"/>
    </row>
    <row r="43" spans="12:38">
      <c r="L43" s="151"/>
      <c r="Y43" s="151"/>
      <c r="AL43" s="151"/>
    </row>
    <row r="44" spans="12:38">
      <c r="L44" s="151"/>
      <c r="Y44" s="151"/>
      <c r="AL44" s="151"/>
    </row>
    <row r="45" spans="12:38">
      <c r="L45" s="151"/>
      <c r="Y45" s="151"/>
      <c r="AL45" s="151"/>
    </row>
    <row r="46" spans="12:38">
      <c r="L46" s="151"/>
      <c r="Y46" s="151"/>
      <c r="AL46" s="151"/>
    </row>
    <row r="47" spans="12:38">
      <c r="L47" s="151"/>
      <c r="Y47" s="151"/>
      <c r="AL47" s="151"/>
    </row>
    <row r="48" spans="12:38">
      <c r="L48" s="151"/>
      <c r="Y48" s="151"/>
      <c r="AL48" s="151"/>
    </row>
    <row r="49" spans="12:38">
      <c r="L49" s="151"/>
      <c r="Y49" s="151"/>
      <c r="AL49" s="151"/>
    </row>
    <row r="50" spans="12:38">
      <c r="L50" s="151"/>
      <c r="Y50" s="151"/>
      <c r="AL50" s="151"/>
    </row>
    <row r="51" spans="12:38">
      <c r="L51" s="151"/>
      <c r="Y51" s="151"/>
      <c r="AL51" s="151"/>
    </row>
    <row r="52" spans="12:38">
      <c r="L52" s="151"/>
      <c r="Y52" s="151"/>
      <c r="AL52" s="151"/>
    </row>
    <row r="53" spans="12:38">
      <c r="L53" s="151"/>
      <c r="Y53" s="151"/>
      <c r="AL53" s="151"/>
    </row>
    <row r="54" spans="12:38">
      <c r="L54" s="151"/>
      <c r="Y54" s="151"/>
      <c r="AL54" s="151"/>
    </row>
    <row r="55" spans="12:38">
      <c r="L55" s="151"/>
      <c r="Y55" s="151"/>
      <c r="AL55" s="151"/>
    </row>
    <row r="56" spans="12:38">
      <c r="L56" s="151"/>
      <c r="Y56" s="151"/>
      <c r="AL56" s="151"/>
    </row>
    <row r="57" spans="12:38">
      <c r="L57" s="151"/>
      <c r="Y57" s="151"/>
      <c r="AL57" s="151"/>
    </row>
    <row r="58" spans="12:38">
      <c r="L58" s="151"/>
      <c r="Y58" s="151"/>
      <c r="AL58" s="151"/>
    </row>
    <row r="59" spans="12:38">
      <c r="L59" s="151"/>
      <c r="Y59" s="151"/>
      <c r="AL59" s="151"/>
    </row>
    <row r="60" spans="12:38">
      <c r="L60" s="151"/>
      <c r="Y60" s="151"/>
      <c r="AL60" s="151"/>
    </row>
    <row r="61" spans="12:38">
      <c r="L61" s="151"/>
      <c r="Y61" s="151"/>
      <c r="AL61" s="151"/>
    </row>
    <row r="62" spans="12:38">
      <c r="L62" s="151"/>
      <c r="Y62" s="151"/>
      <c r="AL62" s="151"/>
    </row>
    <row r="63" spans="12:38">
      <c r="L63" s="151"/>
      <c r="Y63" s="151"/>
      <c r="AL63" s="151"/>
    </row>
    <row r="64" spans="12:38">
      <c r="L64" s="151"/>
      <c r="Y64" s="151"/>
      <c r="AL64" s="151"/>
    </row>
    <row r="65" spans="12:38">
      <c r="L65" s="151"/>
      <c r="Y65" s="151"/>
      <c r="AL65" s="151"/>
    </row>
    <row r="66" spans="12:38">
      <c r="L66" s="151"/>
      <c r="Y66" s="151"/>
      <c r="AL66" s="151"/>
    </row>
    <row r="67" spans="12:38">
      <c r="L67" s="151"/>
      <c r="Y67" s="151"/>
      <c r="AL67" s="151"/>
    </row>
    <row r="68" spans="12:38">
      <c r="L68" s="151"/>
      <c r="Y68" s="151"/>
      <c r="AL68" s="151"/>
    </row>
    <row r="69" spans="12:38">
      <c r="L69" s="151"/>
      <c r="Y69" s="151"/>
      <c r="AL69" s="151"/>
    </row>
    <row r="70" spans="12:38">
      <c r="L70" s="151"/>
      <c r="Y70" s="151"/>
      <c r="AL70" s="151"/>
    </row>
    <row r="71" spans="12:38">
      <c r="L71" s="151"/>
      <c r="Y71" s="151"/>
      <c r="AL71" s="151"/>
    </row>
    <row r="72" spans="12:38">
      <c r="L72" s="151"/>
      <c r="Y72" s="151"/>
      <c r="AL72" s="151"/>
    </row>
    <row r="73" spans="12:38">
      <c r="L73" s="151"/>
      <c r="Y73" s="151"/>
      <c r="AL73" s="151"/>
    </row>
    <row r="74" spans="12:38">
      <c r="L74" s="151"/>
      <c r="Y74" s="151"/>
      <c r="AL74" s="151"/>
    </row>
    <row r="75" spans="12:38">
      <c r="L75" s="151"/>
      <c r="Y75" s="151"/>
      <c r="AL75" s="151"/>
    </row>
    <row r="76" spans="12:38">
      <c r="L76" s="151"/>
      <c r="Y76" s="151"/>
      <c r="AL76" s="151"/>
    </row>
    <row r="77" spans="12:38">
      <c r="L77" s="151"/>
      <c r="Y77" s="151"/>
      <c r="AL77" s="151"/>
    </row>
    <row r="78" spans="12:38">
      <c r="L78" s="151"/>
      <c r="Y78" s="151"/>
      <c r="AL78" s="151"/>
    </row>
    <row r="79" spans="12:38">
      <c r="L79" s="151"/>
      <c r="Y79" s="151"/>
      <c r="AL79" s="151"/>
    </row>
    <row r="80" spans="12:38">
      <c r="L80" s="151"/>
      <c r="Y80" s="151"/>
      <c r="AL80" s="151"/>
    </row>
    <row r="81" spans="12:38">
      <c r="L81" s="151"/>
      <c r="Y81" s="151"/>
      <c r="AL81" s="151"/>
    </row>
    <row r="82" spans="12:38">
      <c r="L82" s="151"/>
      <c r="Y82" s="151"/>
      <c r="AL82" s="151"/>
    </row>
    <row r="83" spans="12:38">
      <c r="L83" s="151"/>
      <c r="Y83" s="151"/>
      <c r="AL83" s="151"/>
    </row>
    <row r="84" spans="12:38">
      <c r="L84" s="151"/>
      <c r="Y84" s="151"/>
      <c r="AL84" s="151"/>
    </row>
    <row r="85" spans="12:38">
      <c r="L85" s="151"/>
      <c r="Y85" s="151"/>
      <c r="AL85" s="151"/>
    </row>
    <row r="86" spans="12:38">
      <c r="L86" s="151"/>
      <c r="Y86" s="151"/>
      <c r="AL86" s="151"/>
    </row>
    <row r="87" spans="12:38">
      <c r="L87" s="151"/>
      <c r="Y87" s="151"/>
      <c r="AL87" s="151"/>
    </row>
    <row r="88" spans="12:38">
      <c r="L88" s="151"/>
      <c r="Y88" s="151"/>
      <c r="AL88" s="151"/>
    </row>
    <row r="89" spans="12:38">
      <c r="L89" s="151"/>
      <c r="Y89" s="151"/>
      <c r="AL89" s="151"/>
    </row>
    <row r="90" spans="12:38">
      <c r="L90" s="151"/>
      <c r="Y90" s="151"/>
      <c r="AL90" s="151"/>
    </row>
    <row r="91" spans="12:38">
      <c r="L91" s="151"/>
      <c r="Y91" s="151"/>
      <c r="AL91" s="151"/>
    </row>
    <row r="92" spans="12:38">
      <c r="L92" s="151"/>
      <c r="Y92" s="151"/>
      <c r="AL92" s="151"/>
    </row>
    <row r="93" spans="12:38">
      <c r="L93" s="151"/>
      <c r="Y93" s="151"/>
      <c r="AL93" s="151"/>
    </row>
    <row r="94" spans="12:38">
      <c r="L94" s="151"/>
      <c r="Y94" s="151"/>
      <c r="AL94" s="151"/>
    </row>
    <row r="95" spans="12:38">
      <c r="L95" s="151"/>
      <c r="Y95" s="151"/>
      <c r="AL95" s="151"/>
    </row>
    <row r="96" spans="12:38">
      <c r="L96" s="151"/>
      <c r="Y96" s="151"/>
      <c r="AL96" s="151"/>
    </row>
    <row r="97" spans="1:38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</row>
  </sheetData>
  <sheetProtection selectLockedCells="1"/>
  <pageMargins left="0.7" right="0.7" top="0.78740157499999996" bottom="0.78740157499999996" header="0.3" footer="0.3"/>
  <pageSetup paperSize="9" scale="10" orientation="portrait" verticalDpi="0" r:id="rId1"/>
  <drawing r:id="rId2"/>
</worksheet>
</file>

<file path=docMetadata/LabelInfo.xml><?xml version="1.0" encoding="utf-8"?>
<clbl:labelList xmlns:clbl="http://schemas.microsoft.com/office/2020/mipLabelMetadata">
  <clbl:label id="{4366546e-53f2-4454-8e8f-fd59f99f0571}" enabled="1" method="Standard" siteId="{1601d9c2-c7ac-4129-add1-9266ea60063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 Info</vt:lpstr>
      <vt:lpstr>GBIE</vt:lpstr>
      <vt:lpstr>AUS_FG</vt:lpstr>
      <vt:lpstr>AUS_EXW_FOB</vt:lpstr>
      <vt:lpstr>HOFER</vt:lpstr>
      <vt:lpstr>How to fill out</vt:lpstr>
    </vt:vector>
  </TitlesOfParts>
  <Company>ALDI/Hofer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Joormann, Alexander (GS/LA)</dc:creator>
  <cp:lastModifiedBy>Charlie (A2V)</cp:lastModifiedBy>
  <cp:lastPrinted>2020-11-23T12:44:16Z</cp:lastPrinted>
  <dcterms:created xsi:type="dcterms:W3CDTF">2020-11-04T07:34:50Z</dcterms:created>
  <dcterms:modified xsi:type="dcterms:W3CDTF">2026-03-09T10:27:59Z</dcterms:modified>
</cp:coreProperties>
</file>